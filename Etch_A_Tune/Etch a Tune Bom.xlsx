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dward\Documents\GitHub\Etch-A-Tune\Etch_A_Tune\"/>
    </mc:Choice>
  </mc:AlternateContent>
  <xr:revisionPtr revIDLastSave="0" documentId="13_ncr:1_{65DC9EE9-68F4-4213-8536-94239FC0BCCB}" xr6:coauthVersionLast="47" xr6:coauthVersionMax="47" xr10:uidLastSave="{00000000-0000-0000-0000-000000000000}"/>
  <bookViews>
    <workbookView xWindow="3585" yWindow="4545" windowWidth="28800" windowHeight="15255" xr2:uid="{00000000-000D-0000-FFFF-FFFF00000000}"/>
  </bookViews>
  <sheets>
    <sheet name="ECE411 BOM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38" i="1" s="1"/>
</calcChain>
</file>

<file path=xl/sharedStrings.xml><?xml version="1.0" encoding="utf-8"?>
<sst xmlns="http://schemas.openxmlformats.org/spreadsheetml/2006/main" count="108" uniqueCount="85">
  <si>
    <t>Bill Of Materials for: [7] [Etch A Tune]</t>
  </si>
  <si>
    <t>Last modified: [11/13/25]</t>
  </si>
  <si>
    <t>PCB version: [PCB VERSION 1]</t>
  </si>
  <si>
    <t>BOM revision: [BOM REVISION 1]</t>
  </si>
  <si>
    <t>Qty</t>
  </si>
  <si>
    <t>Reference Designators</t>
  </si>
  <si>
    <t>Mfr</t>
  </si>
  <si>
    <t>Mfr Part Number</t>
  </si>
  <si>
    <t>Description</t>
  </si>
  <si>
    <t>Dist</t>
  </si>
  <si>
    <t>Dist Part Number</t>
  </si>
  <si>
    <t>Cost Ea.</t>
  </si>
  <si>
    <t>Cost Total</t>
  </si>
  <si>
    <t>BT1</t>
  </si>
  <si>
    <t>1042P</t>
  </si>
  <si>
    <t>BATTERY HOLDER 18650 SMD</t>
  </si>
  <si>
    <t>Digikey</t>
  </si>
  <si>
    <t>36-1042P-ND</t>
  </si>
  <si>
    <t>&gt;  C1-C6</t>
  </si>
  <si>
    <t>CL10E104KC8VPNC</t>
  </si>
  <si>
    <t>CAP CER 100NF 100V X8L 0603</t>
  </si>
  <si>
    <t>1276-CL10E104KC8VPNCCT-ND</t>
  </si>
  <si>
    <t>C7</t>
  </si>
  <si>
    <t>IC1</t>
  </si>
  <si>
    <t>BQ25170DSGR</t>
  </si>
  <si>
    <t>800-MA LINEAR BATTERY CHARGER FO</t>
  </si>
  <si>
    <t>296-BQ25170DSGRCT-ND</t>
  </si>
  <si>
    <t>J1</t>
  </si>
  <si>
    <t>RSM-114-02-T-S</t>
  </si>
  <si>
    <t>CONN RCPT 14POS 0.05 TIN SMD</t>
  </si>
  <si>
    <t>RSM-114-02-T-S-ND</t>
  </si>
  <si>
    <t>J2</t>
  </si>
  <si>
    <t>91601-304ALF</t>
  </si>
  <si>
    <t>CONN RCPT 4POS 0.1 GOLD SMD</t>
  </si>
  <si>
    <t>609-91601-304ALFCT-ND</t>
  </si>
  <si>
    <t>J3</t>
  </si>
  <si>
    <t>M20-7910542R</t>
  </si>
  <si>
    <t>CONN RCPT 5POS 0.1 GOLD SMD R/A</t>
  </si>
  <si>
    <t>952-3198-1-ND</t>
  </si>
  <si>
    <t>J4</t>
  </si>
  <si>
    <t>CONN RCP USB2.0 TYP C 24P SMD RA</t>
  </si>
  <si>
    <t>900-2171790001CT-ND</t>
  </si>
  <si>
    <t>L1</t>
  </si>
  <si>
    <t>BRL3225T2R2M</t>
  </si>
  <si>
    <t>FIXED IND 2.2UH 1.6A 78 MOHM SMD</t>
  </si>
  <si>
    <t>587-2165-1-ND</t>
  </si>
  <si>
    <t>MT1, MT2</t>
  </si>
  <si>
    <t>RIC11-31S15D7-GSMT</t>
  </si>
  <si>
    <t>ENCODER INCREM QUAD VERT SMD/SMT</t>
  </si>
  <si>
    <t>2223-RIC11-31S15D7-GSMT-ND</t>
  </si>
  <si>
    <t xml:space="preserve"> R1-R18</t>
  </si>
  <si>
    <t>RC0603FR-0710KL</t>
  </si>
  <si>
    <t>RES 10K OHM 1% 1/10W 0603</t>
  </si>
  <si>
    <t>311-10.0KHRCT-ND</t>
  </si>
  <si>
    <t>R19</t>
  </si>
  <si>
    <t>&gt;  S1-S5</t>
  </si>
  <si>
    <t>B3AL-1005P</t>
  </si>
  <si>
    <t>SWITCH TACTILE SPST-NO 0.05A 16V</t>
  </si>
  <si>
    <t>Z7816CT-ND</t>
  </si>
  <si>
    <t>S6</t>
  </si>
  <si>
    <t>SWITCH SLIDE SPDT 0.3A 5V</t>
  </si>
  <si>
    <t xml:space="preserve"> TP1-TP13</t>
  </si>
  <si>
    <t>TestPoint</t>
  </si>
  <si>
    <t>1mm Test point</t>
  </si>
  <si>
    <t>U1</t>
  </si>
  <si>
    <t>BQ29700DSER</t>
  </si>
  <si>
    <t>IC BATT PROT LI-ION 1CELL 6WSON</t>
  </si>
  <si>
    <t>296-43985-1-ND</t>
  </si>
  <si>
    <t>&gt;  U2, U3</t>
  </si>
  <si>
    <t>CSD16406Q3</t>
  </si>
  <si>
    <t>MOSFET N-CH 25V 19A/60A 8VSON</t>
  </si>
  <si>
    <t>296-24251-1-ND</t>
  </si>
  <si>
    <t>U4</t>
  </si>
  <si>
    <t>TPS62063DSGR</t>
  </si>
  <si>
    <t>IC REG BUCK 3.3V 1.6A 8WSON</t>
  </si>
  <si>
    <t>296-38304-6-ND</t>
  </si>
  <si>
    <t>U5</t>
  </si>
  <si>
    <t>STM32H7A3ZIT6Q</t>
  </si>
  <si>
    <t>ARM® Cortex®-M7 STM32H7 Microcontroller IC 32-Bit 280MHz 2MB (2M x 8) FLASH 144-LQFP (20x20)</t>
  </si>
  <si>
    <t>497-STM32H7A3ZIT6Q-ND</t>
  </si>
  <si>
    <t>TOTAL:</t>
  </si>
  <si>
    <t>VERSION INFO</t>
  </si>
  <si>
    <t>Rev</t>
  </si>
  <si>
    <t>Date</t>
  </si>
  <si>
    <t>1.0r0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</si>
</sst>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8" x14ac:knownFonts="1">
    <font>
      <sz val="10"/>
      <color rgb="FF000000"/>
      <name val="Calibri"/>
      <scheme val="minor"/>
    </font>
    <font>
      <sz val="10"/>
      <color theme="1"/>
      <name val="Calibri"/>
    </font>
    <font>
      <b/>
      <sz val="10"/>
      <color theme="1"/>
      <name val="Calibri"/>
    </font>
    <font>
      <sz val="10"/>
      <color theme="1"/>
      <name val="Calibri"/>
      <scheme val="minor"/>
    </font>
    <font>
      <sz val="9"/>
      <color rgb="FF222222"/>
      <name val="Roboto"/>
    </font>
    <font>
      <sz val="9"/>
      <color rgb="FF444444"/>
      <name val="Roboto"/>
    </font>
    <font>
      <sz val="8"/>
      <color rgb="FF222222"/>
      <name val="Roboto"/>
    </font>
    <font>
      <b/>
      <sz val="9"/>
      <color rgb="FF222222"/>
      <name val="Roboto"/>
    </font>
  </fonts>
  <fills count="4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164" fontId="2" fillId="2" borderId="0" xfId="0" applyNumberFormat="1" applyFont="1" applyFill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left"/>
    </xf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right"/>
    </xf>
    <xf numFmtId="0" fontId="6" fillId="3" borderId="0" xfId="0" applyFont="1" applyFill="1"/>
    <xf numFmtId="0" fontId="7" fillId="3" borderId="0" xfId="0" applyFont="1" applyFill="1" applyAlignment="1">
      <alignment horizontal="left"/>
    </xf>
    <xf numFmtId="164" fontId="6" fillId="3" borderId="0" xfId="0" applyNumberFormat="1" applyFont="1" applyFill="1" applyAlignment="1">
      <alignment horizontal="left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98"/>
  <sheetViews>
    <sheetView tabSelected="1" workbookViewId="0">
      <pane ySplit="6" topLeftCell="A28" activePane="bottomLeft" state="frozen"/>
      <selection pane="bottomLeft" activeCell="D44" sqref="D44"/>
    </sheetView>
  </sheetViews>
  <sheetFormatPr defaultColWidth="14.42578125" defaultRowHeight="15" customHeight="1" x14ac:dyDescent="0.2"/>
  <cols>
    <col min="1" max="1" width="5.140625" customWidth="1"/>
    <col min="2" max="2" width="30.7109375" customWidth="1"/>
    <col min="3" max="3" width="13" customWidth="1"/>
    <col min="4" max="4" width="26.42578125" customWidth="1"/>
    <col min="5" max="5" width="49.28515625" customWidth="1"/>
    <col min="6" max="6" width="9" customWidth="1"/>
    <col min="7" max="7" width="20.85546875" customWidth="1"/>
    <col min="8" max="9" width="8.7109375" customWidth="1"/>
  </cols>
  <sheetData>
    <row r="1" spans="1:12" ht="12.75" customHeight="1" x14ac:dyDescent="0.2">
      <c r="A1" s="1" t="s">
        <v>0</v>
      </c>
      <c r="B1" s="1"/>
      <c r="C1" s="1"/>
      <c r="D1" s="1"/>
      <c r="E1" s="1"/>
      <c r="F1" s="1"/>
      <c r="G1" s="1"/>
      <c r="H1" s="2"/>
      <c r="I1" s="2"/>
    </row>
    <row r="2" spans="1:12" ht="12.75" customHeight="1" x14ac:dyDescent="0.2">
      <c r="A2" s="3" t="s">
        <v>1</v>
      </c>
      <c r="B2" s="3"/>
      <c r="C2" s="3"/>
      <c r="D2" s="3"/>
      <c r="E2" s="3"/>
      <c r="F2" s="3"/>
      <c r="H2" s="4"/>
      <c r="I2" s="4"/>
    </row>
    <row r="3" spans="1:12" ht="12.75" customHeight="1" x14ac:dyDescent="0.2">
      <c r="A3" s="3" t="s">
        <v>2</v>
      </c>
      <c r="B3" s="3"/>
      <c r="E3" s="3"/>
      <c r="F3" s="3"/>
      <c r="H3" s="4"/>
      <c r="I3" s="4"/>
    </row>
    <row r="4" spans="1:12" ht="12.75" customHeight="1" x14ac:dyDescent="0.2">
      <c r="A4" s="3" t="s">
        <v>3</v>
      </c>
      <c r="B4" s="3"/>
      <c r="C4" s="3"/>
      <c r="E4" s="3"/>
      <c r="F4" s="3"/>
      <c r="H4" s="4"/>
      <c r="I4" s="4"/>
    </row>
    <row r="5" spans="1:12" ht="12.75" customHeight="1" x14ac:dyDescent="0.2">
      <c r="A5" s="3"/>
      <c r="B5" s="3"/>
      <c r="C5" s="3"/>
      <c r="D5" s="3"/>
      <c r="E5" s="3"/>
      <c r="F5" s="3"/>
      <c r="H5" s="4"/>
      <c r="I5" s="4"/>
    </row>
    <row r="6" spans="1:12" ht="12.75" customHeight="1" x14ac:dyDescent="0.2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6" t="s">
        <v>11</v>
      </c>
      <c r="I6" s="6" t="s">
        <v>12</v>
      </c>
    </row>
    <row r="7" spans="1:12" ht="12.75" customHeight="1" x14ac:dyDescent="0.2">
      <c r="A7" s="7">
        <v>1</v>
      </c>
      <c r="B7" s="7" t="s">
        <v>13</v>
      </c>
      <c r="C7" s="7"/>
      <c r="D7" s="7" t="s">
        <v>14</v>
      </c>
      <c r="E7" s="8" t="s">
        <v>15</v>
      </c>
      <c r="F7" s="7" t="s">
        <v>16</v>
      </c>
      <c r="G7" s="7" t="s">
        <v>17</v>
      </c>
      <c r="H7" s="9">
        <v>5.54</v>
      </c>
      <c r="I7" s="10">
        <f t="shared" ref="I7:I25" si="0">$H7*$A7</f>
        <v>5.54</v>
      </c>
    </row>
    <row r="8" spans="1:12" ht="12.75" customHeight="1" x14ac:dyDescent="0.2">
      <c r="A8" s="7">
        <v>6</v>
      </c>
      <c r="B8" s="7" t="s">
        <v>18</v>
      </c>
      <c r="C8" s="7"/>
      <c r="D8" s="7" t="s">
        <v>19</v>
      </c>
      <c r="E8" s="8" t="s">
        <v>20</v>
      </c>
      <c r="F8" s="7" t="s">
        <v>16</v>
      </c>
      <c r="G8" s="7" t="s">
        <v>21</v>
      </c>
      <c r="H8" s="9">
        <v>0.25</v>
      </c>
      <c r="I8" s="10">
        <f t="shared" si="0"/>
        <v>1.5</v>
      </c>
    </row>
    <row r="9" spans="1:12" ht="12.75" customHeight="1" x14ac:dyDescent="0.2">
      <c r="A9" s="7">
        <v>1</v>
      </c>
      <c r="B9" s="7" t="s">
        <v>22</v>
      </c>
      <c r="C9" s="7"/>
      <c r="D9" s="7" t="s">
        <v>19</v>
      </c>
      <c r="E9" s="8" t="s">
        <v>20</v>
      </c>
      <c r="F9" s="7" t="s">
        <v>16</v>
      </c>
      <c r="G9" s="7" t="s">
        <v>21</v>
      </c>
      <c r="H9" s="9">
        <v>0.25</v>
      </c>
      <c r="I9" s="10">
        <f t="shared" si="0"/>
        <v>0.25</v>
      </c>
    </row>
    <row r="10" spans="1:12" ht="12.75" customHeight="1" x14ac:dyDescent="0.2">
      <c r="A10" s="7">
        <v>1</v>
      </c>
      <c r="B10" s="7" t="s">
        <v>23</v>
      </c>
      <c r="C10" s="7"/>
      <c r="D10" s="7" t="s">
        <v>24</v>
      </c>
      <c r="E10" s="11" t="s">
        <v>25</v>
      </c>
      <c r="F10" s="7" t="s">
        <v>16</v>
      </c>
      <c r="G10" s="7" t="s">
        <v>26</v>
      </c>
      <c r="H10" s="9">
        <v>0.96</v>
      </c>
      <c r="I10" s="10">
        <f t="shared" si="0"/>
        <v>0.96</v>
      </c>
    </row>
    <row r="11" spans="1:12" ht="12.75" customHeight="1" x14ac:dyDescent="0.2">
      <c r="A11" s="7">
        <v>1</v>
      </c>
      <c r="B11" s="7" t="s">
        <v>27</v>
      </c>
      <c r="C11" s="7"/>
      <c r="D11" s="7" t="s">
        <v>28</v>
      </c>
      <c r="E11" s="8" t="s">
        <v>29</v>
      </c>
      <c r="F11" s="7" t="s">
        <v>16</v>
      </c>
      <c r="G11" s="12" t="s">
        <v>30</v>
      </c>
      <c r="H11" s="9">
        <v>3.2</v>
      </c>
      <c r="I11" s="10">
        <f t="shared" si="0"/>
        <v>3.2</v>
      </c>
      <c r="L11" s="13"/>
    </row>
    <row r="12" spans="1:12" ht="12.75" customHeight="1" x14ac:dyDescent="0.2">
      <c r="A12" s="7">
        <v>1</v>
      </c>
      <c r="B12" s="7" t="s">
        <v>31</v>
      </c>
      <c r="C12" s="7"/>
      <c r="D12" s="7" t="s">
        <v>32</v>
      </c>
      <c r="E12" s="8" t="s">
        <v>33</v>
      </c>
      <c r="F12" s="7" t="s">
        <v>16</v>
      </c>
      <c r="G12" s="7" t="s">
        <v>34</v>
      </c>
      <c r="H12" s="9">
        <v>0.76</v>
      </c>
      <c r="I12" s="10">
        <f t="shared" si="0"/>
        <v>0.76</v>
      </c>
      <c r="K12" s="14"/>
    </row>
    <row r="13" spans="1:12" ht="12.75" customHeight="1" x14ac:dyDescent="0.2">
      <c r="A13" s="7">
        <v>1</v>
      </c>
      <c r="B13" s="7" t="s">
        <v>35</v>
      </c>
      <c r="C13" s="7"/>
      <c r="D13" s="7" t="s">
        <v>36</v>
      </c>
      <c r="E13" s="8" t="s">
        <v>37</v>
      </c>
      <c r="F13" s="7" t="s">
        <v>16</v>
      </c>
      <c r="G13" s="7" t="s">
        <v>38</v>
      </c>
      <c r="H13" s="9">
        <v>1.06</v>
      </c>
      <c r="I13" s="10">
        <f t="shared" si="0"/>
        <v>1.06</v>
      </c>
    </row>
    <row r="14" spans="1:12" ht="12.75" customHeight="1" x14ac:dyDescent="0.2">
      <c r="A14" s="7">
        <v>1</v>
      </c>
      <c r="B14" s="7" t="s">
        <v>39</v>
      </c>
      <c r="C14" s="7"/>
      <c r="D14" s="7">
        <v>2171790001</v>
      </c>
      <c r="E14" s="8" t="s">
        <v>40</v>
      </c>
      <c r="F14" s="7" t="s">
        <v>16</v>
      </c>
      <c r="G14" s="7" t="s">
        <v>41</v>
      </c>
      <c r="H14" s="9">
        <v>0.83</v>
      </c>
      <c r="I14" s="10">
        <f t="shared" si="0"/>
        <v>0.83</v>
      </c>
      <c r="K14" s="15"/>
    </row>
    <row r="15" spans="1:12" ht="12.75" customHeight="1" x14ac:dyDescent="0.2">
      <c r="A15" s="7">
        <v>1</v>
      </c>
      <c r="B15" s="7" t="s">
        <v>42</v>
      </c>
      <c r="C15" s="7"/>
      <c r="D15" s="7" t="s">
        <v>43</v>
      </c>
      <c r="E15" s="8" t="s">
        <v>44</v>
      </c>
      <c r="F15" s="7" t="s">
        <v>16</v>
      </c>
      <c r="G15" s="7" t="s">
        <v>45</v>
      </c>
      <c r="H15" s="9">
        <v>0.16</v>
      </c>
      <c r="I15" s="10">
        <f t="shared" si="0"/>
        <v>0.16</v>
      </c>
      <c r="K15" s="14"/>
      <c r="L15" s="13"/>
    </row>
    <row r="16" spans="1:12" ht="12.75" customHeight="1" x14ac:dyDescent="0.2">
      <c r="A16" s="7">
        <v>2</v>
      </c>
      <c r="B16" s="7" t="s">
        <v>46</v>
      </c>
      <c r="C16" s="7"/>
      <c r="D16" s="7" t="s">
        <v>47</v>
      </c>
      <c r="E16" s="8" t="s">
        <v>48</v>
      </c>
      <c r="F16" s="7" t="s">
        <v>16</v>
      </c>
      <c r="G16" s="7" t="s">
        <v>49</v>
      </c>
      <c r="H16" s="9">
        <v>2.2400000000000002</v>
      </c>
      <c r="I16" s="10">
        <f t="shared" si="0"/>
        <v>4.4800000000000004</v>
      </c>
      <c r="K16" s="14"/>
    </row>
    <row r="17" spans="1:12" ht="12.75" customHeight="1" x14ac:dyDescent="0.2">
      <c r="A17" s="7">
        <v>18</v>
      </c>
      <c r="B17" s="7" t="s">
        <v>50</v>
      </c>
      <c r="C17" s="7"/>
      <c r="D17" s="7" t="s">
        <v>51</v>
      </c>
      <c r="E17" s="8" t="s">
        <v>52</v>
      </c>
      <c r="F17" s="7" t="s">
        <v>16</v>
      </c>
      <c r="G17" s="7" t="s">
        <v>53</v>
      </c>
      <c r="H17" s="9">
        <v>0.1</v>
      </c>
      <c r="I17" s="10">
        <f t="shared" si="0"/>
        <v>1.8</v>
      </c>
    </row>
    <row r="18" spans="1:12" ht="12.75" customHeight="1" x14ac:dyDescent="0.2">
      <c r="A18" s="7">
        <v>1</v>
      </c>
      <c r="B18" s="7" t="s">
        <v>54</v>
      </c>
      <c r="C18" s="7"/>
      <c r="D18" s="7" t="s">
        <v>51</v>
      </c>
      <c r="E18" s="8" t="s">
        <v>52</v>
      </c>
      <c r="F18" s="7" t="s">
        <v>16</v>
      </c>
      <c r="G18" s="7" t="s">
        <v>53</v>
      </c>
      <c r="H18" s="9">
        <v>0.1</v>
      </c>
      <c r="I18" s="10">
        <f t="shared" si="0"/>
        <v>0.1</v>
      </c>
    </row>
    <row r="19" spans="1:12" ht="12.75" customHeight="1" x14ac:dyDescent="0.2">
      <c r="A19" s="7">
        <v>5</v>
      </c>
      <c r="B19" s="7" t="s">
        <v>55</v>
      </c>
      <c r="C19" s="7"/>
      <c r="D19" s="7" t="s">
        <v>56</v>
      </c>
      <c r="E19" s="12" t="s">
        <v>57</v>
      </c>
      <c r="F19" s="7" t="s">
        <v>16</v>
      </c>
      <c r="G19" s="7" t="s">
        <v>58</v>
      </c>
      <c r="H19" s="9">
        <v>1.56</v>
      </c>
      <c r="I19" s="10">
        <f t="shared" si="0"/>
        <v>7.8000000000000007</v>
      </c>
    </row>
    <row r="20" spans="1:12" ht="12.75" customHeight="1" x14ac:dyDescent="0.2">
      <c r="A20" s="7">
        <v>1</v>
      </c>
      <c r="B20" s="7" t="s">
        <v>59</v>
      </c>
      <c r="C20" s="7"/>
      <c r="D20" s="7">
        <v>450404015514</v>
      </c>
      <c r="E20" s="8" t="s">
        <v>60</v>
      </c>
      <c r="F20" s="7" t="s">
        <v>16</v>
      </c>
      <c r="G20" s="7">
        <v>450404015514</v>
      </c>
      <c r="H20" s="9">
        <v>0.8</v>
      </c>
      <c r="I20" s="10">
        <f t="shared" si="0"/>
        <v>0.8</v>
      </c>
    </row>
    <row r="21" spans="1:12" ht="12.75" customHeight="1" x14ac:dyDescent="0.2">
      <c r="A21" s="7">
        <v>13</v>
      </c>
      <c r="B21" s="7" t="s">
        <v>61</v>
      </c>
      <c r="C21" s="7"/>
      <c r="D21" s="7" t="s">
        <v>62</v>
      </c>
      <c r="E21" s="8" t="s">
        <v>63</v>
      </c>
      <c r="F21" s="7"/>
      <c r="G21" s="7"/>
      <c r="H21" s="16">
        <v>0</v>
      </c>
      <c r="I21" s="10">
        <f t="shared" si="0"/>
        <v>0</v>
      </c>
    </row>
    <row r="22" spans="1:12" ht="12.75" customHeight="1" x14ac:dyDescent="0.2">
      <c r="A22" s="7">
        <v>1</v>
      </c>
      <c r="B22" s="7" t="s">
        <v>64</v>
      </c>
      <c r="C22" s="7"/>
      <c r="D22" s="7" t="s">
        <v>65</v>
      </c>
      <c r="E22" s="8" t="s">
        <v>66</v>
      </c>
      <c r="F22" s="7" t="s">
        <v>16</v>
      </c>
      <c r="G22" s="7" t="s">
        <v>67</v>
      </c>
      <c r="H22" s="10">
        <v>0.51</v>
      </c>
      <c r="I22" s="10">
        <f t="shared" si="0"/>
        <v>0.51</v>
      </c>
      <c r="L22" s="15"/>
    </row>
    <row r="23" spans="1:12" ht="12.75" customHeight="1" x14ac:dyDescent="0.2">
      <c r="A23" s="7">
        <v>2</v>
      </c>
      <c r="B23" s="7" t="s">
        <v>68</v>
      </c>
      <c r="C23" s="7"/>
      <c r="D23" s="7" t="s">
        <v>69</v>
      </c>
      <c r="E23" s="8" t="s">
        <v>70</v>
      </c>
      <c r="F23" s="7" t="s">
        <v>16</v>
      </c>
      <c r="G23" s="7" t="s">
        <v>71</v>
      </c>
      <c r="H23" s="9">
        <v>1.65</v>
      </c>
      <c r="I23" s="10">
        <f t="shared" si="0"/>
        <v>3.3</v>
      </c>
      <c r="L23" s="14"/>
    </row>
    <row r="24" spans="1:12" ht="12.75" customHeight="1" x14ac:dyDescent="0.2">
      <c r="A24" s="7">
        <v>1</v>
      </c>
      <c r="B24" s="7" t="s">
        <v>72</v>
      </c>
      <c r="C24" s="7"/>
      <c r="D24" s="7" t="s">
        <v>73</v>
      </c>
      <c r="E24" s="8" t="s">
        <v>74</v>
      </c>
      <c r="F24" s="7" t="s">
        <v>16</v>
      </c>
      <c r="G24" s="7" t="s">
        <v>75</v>
      </c>
      <c r="H24" s="9">
        <v>2.12</v>
      </c>
      <c r="I24" s="10">
        <f t="shared" si="0"/>
        <v>2.12</v>
      </c>
    </row>
    <row r="25" spans="1:12" ht="12.75" customHeight="1" x14ac:dyDescent="0.2">
      <c r="A25" s="7">
        <v>1</v>
      </c>
      <c r="B25" s="7" t="s">
        <v>76</v>
      </c>
      <c r="C25" s="7"/>
      <c r="D25" s="7" t="s">
        <v>77</v>
      </c>
      <c r="E25" s="8" t="s">
        <v>78</v>
      </c>
      <c r="F25" s="7" t="s">
        <v>16</v>
      </c>
      <c r="G25" s="7" t="s">
        <v>79</v>
      </c>
      <c r="H25" s="10">
        <v>14.86</v>
      </c>
      <c r="I25" s="10">
        <f t="shared" si="0"/>
        <v>14.86</v>
      </c>
    </row>
    <row r="26" spans="1:12" ht="12.75" customHeight="1" x14ac:dyDescent="0.2">
      <c r="A26" s="3"/>
      <c r="B26" s="3"/>
      <c r="C26" s="3"/>
      <c r="D26" s="3"/>
      <c r="E26" s="3"/>
      <c r="F26" s="3"/>
      <c r="G26" s="3"/>
      <c r="H26" s="4"/>
      <c r="I26" s="4"/>
    </row>
    <row r="27" spans="1:12" ht="12.75" customHeight="1" x14ac:dyDescent="0.2">
      <c r="A27" s="3"/>
      <c r="B27" s="3"/>
      <c r="C27" s="3"/>
      <c r="D27" s="3"/>
      <c r="E27" s="3"/>
      <c r="F27" s="3"/>
      <c r="G27" s="3"/>
      <c r="H27" s="4"/>
      <c r="I27" s="4"/>
    </row>
    <row r="28" spans="1:12" ht="12.75" customHeight="1" x14ac:dyDescent="0.2">
      <c r="A28" s="3"/>
      <c r="B28" s="3"/>
      <c r="C28" s="3"/>
      <c r="D28" s="3"/>
      <c r="E28" s="3"/>
      <c r="F28" s="3"/>
      <c r="G28" s="3"/>
      <c r="H28" s="4"/>
      <c r="I28" s="4"/>
    </row>
    <row r="29" spans="1:12" ht="12.75" customHeight="1" x14ac:dyDescent="0.2">
      <c r="A29" s="3"/>
      <c r="B29" s="3"/>
      <c r="C29" s="3"/>
      <c r="D29" s="3"/>
      <c r="E29" s="3"/>
      <c r="F29" s="3"/>
      <c r="G29" s="3"/>
      <c r="H29" s="4"/>
      <c r="I29" s="4"/>
    </row>
    <row r="30" spans="1:12" ht="12.75" customHeight="1" x14ac:dyDescent="0.2">
      <c r="A30" s="3"/>
      <c r="B30" s="3"/>
      <c r="C30" s="3"/>
      <c r="D30" s="3"/>
      <c r="E30" s="3"/>
      <c r="F30" s="3"/>
      <c r="G30" s="3"/>
      <c r="H30" s="4"/>
      <c r="I30" s="4"/>
    </row>
    <row r="31" spans="1:12" ht="12.75" customHeight="1" x14ac:dyDescent="0.2">
      <c r="A31" s="3"/>
      <c r="B31" s="3"/>
      <c r="C31" s="3"/>
      <c r="D31" s="3"/>
      <c r="E31" s="3"/>
      <c r="F31" s="3"/>
      <c r="G31" s="3"/>
      <c r="H31" s="4"/>
      <c r="I31" s="4"/>
    </row>
    <row r="32" spans="1:12" ht="12.75" customHeight="1" x14ac:dyDescent="0.2">
      <c r="A32" s="3"/>
      <c r="B32" s="3"/>
      <c r="C32" s="3"/>
      <c r="D32" s="3"/>
      <c r="E32" s="3"/>
      <c r="F32" s="3"/>
      <c r="G32" s="3"/>
      <c r="H32" s="4"/>
      <c r="I32" s="4"/>
    </row>
    <row r="33" spans="1:9" ht="12.75" customHeight="1" x14ac:dyDescent="0.2">
      <c r="A33" s="3"/>
      <c r="B33" s="3"/>
      <c r="C33" s="3"/>
      <c r="D33" s="3"/>
      <c r="E33" s="3"/>
      <c r="F33" s="3"/>
      <c r="G33" s="3"/>
      <c r="H33" s="4"/>
      <c r="I33" s="4"/>
    </row>
    <row r="34" spans="1:9" ht="12.75" customHeight="1" x14ac:dyDescent="0.2">
      <c r="A34" s="3"/>
      <c r="B34" s="3"/>
      <c r="C34" s="3"/>
      <c r="D34" s="3"/>
      <c r="E34" s="3"/>
      <c r="F34" s="3"/>
      <c r="G34" s="3"/>
      <c r="H34" s="4"/>
      <c r="I34" s="4"/>
    </row>
    <row r="35" spans="1:9" ht="12.75" customHeight="1" x14ac:dyDescent="0.2">
      <c r="A35" s="3"/>
      <c r="B35" s="3"/>
      <c r="C35" s="3"/>
      <c r="D35" s="3"/>
      <c r="E35" s="3"/>
      <c r="F35" s="3"/>
      <c r="G35" s="3"/>
      <c r="H35" s="4"/>
      <c r="I35" s="4"/>
    </row>
    <row r="36" spans="1:9" ht="12.75" customHeight="1" x14ac:dyDescent="0.2">
      <c r="A36" s="3"/>
      <c r="B36" s="3"/>
      <c r="C36" s="3"/>
      <c r="D36" s="3"/>
      <c r="E36" s="3"/>
      <c r="F36" s="3"/>
      <c r="G36" s="3"/>
      <c r="H36" s="4"/>
      <c r="I36" s="4"/>
    </row>
    <row r="37" spans="1:9" ht="12.75" customHeight="1" x14ac:dyDescent="0.2">
      <c r="A37" s="3"/>
      <c r="B37" s="3"/>
      <c r="C37" s="3"/>
      <c r="D37" s="3"/>
      <c r="E37" s="3"/>
      <c r="F37" s="3"/>
      <c r="G37" s="3"/>
      <c r="H37" s="4"/>
      <c r="I37" s="4"/>
    </row>
    <row r="38" spans="1:9" ht="12.75" customHeight="1" x14ac:dyDescent="0.2">
      <c r="H38" s="17" t="s">
        <v>80</v>
      </c>
      <c r="I38" s="17">
        <f>SUM(I7:I37)</f>
        <v>50.03</v>
      </c>
    </row>
    <row r="39" spans="1:9" ht="12.75" customHeight="1" x14ac:dyDescent="0.2">
      <c r="H39" s="17"/>
      <c r="I39" s="17"/>
    </row>
    <row r="40" spans="1:9" ht="12.75" customHeight="1" x14ac:dyDescent="0.2">
      <c r="A40" s="5" t="s">
        <v>81</v>
      </c>
      <c r="B40" s="5"/>
      <c r="C40" s="5"/>
      <c r="D40" s="5"/>
      <c r="E40" s="5"/>
      <c r="F40" s="5"/>
      <c r="G40" s="5"/>
      <c r="H40" s="6"/>
      <c r="I40" s="6"/>
    </row>
    <row r="41" spans="1:9" ht="12.75" customHeight="1" x14ac:dyDescent="0.2">
      <c r="H41" s="4"/>
      <c r="I41" s="4"/>
    </row>
    <row r="42" spans="1:9" ht="12.75" customHeight="1" x14ac:dyDescent="0.2">
      <c r="A42" s="18" t="s">
        <v>82</v>
      </c>
      <c r="B42" s="19" t="s">
        <v>83</v>
      </c>
      <c r="H42" s="4"/>
      <c r="I42" s="4"/>
    </row>
    <row r="43" spans="1:9" ht="12.75" customHeight="1" x14ac:dyDescent="0.2">
      <c r="A43" s="3" t="s">
        <v>84</v>
      </c>
      <c r="B43" s="20">
        <v>45974</v>
      </c>
      <c r="H43" s="4"/>
      <c r="I43" s="4"/>
    </row>
    <row r="44" spans="1:9" ht="12.75" customHeight="1" x14ac:dyDescent="0.2">
      <c r="H44" s="4"/>
      <c r="I44" s="4"/>
    </row>
    <row r="45" spans="1:9" ht="12.75" customHeight="1" x14ac:dyDescent="0.2">
      <c r="H45" s="4"/>
      <c r="I45" s="4"/>
    </row>
    <row r="46" spans="1:9" ht="12.75" customHeight="1" x14ac:dyDescent="0.2">
      <c r="H46" s="4"/>
      <c r="I46" s="4"/>
    </row>
    <row r="47" spans="1:9" ht="12.75" customHeight="1" x14ac:dyDescent="0.2">
      <c r="H47" s="4"/>
      <c r="I47" s="4"/>
    </row>
    <row r="48" spans="1:9" ht="12.75" customHeight="1" x14ac:dyDescent="0.2">
      <c r="H48" s="4"/>
      <c r="I48" s="4"/>
    </row>
    <row r="49" spans="8:9" ht="12.75" customHeight="1" x14ac:dyDescent="0.2">
      <c r="H49" s="4"/>
      <c r="I49" s="4"/>
    </row>
    <row r="50" spans="8:9" ht="12.75" customHeight="1" x14ac:dyDescent="0.2">
      <c r="H50" s="4"/>
      <c r="I50" s="4"/>
    </row>
    <row r="51" spans="8:9" ht="12.75" customHeight="1" x14ac:dyDescent="0.2">
      <c r="H51" s="4"/>
      <c r="I51" s="4"/>
    </row>
    <row r="52" spans="8:9" ht="12.75" customHeight="1" x14ac:dyDescent="0.2">
      <c r="H52" s="4"/>
      <c r="I52" s="4"/>
    </row>
    <row r="53" spans="8:9" ht="12.75" customHeight="1" x14ac:dyDescent="0.2">
      <c r="H53" s="4"/>
      <c r="I53" s="4"/>
    </row>
    <row r="54" spans="8:9" ht="12.75" customHeight="1" x14ac:dyDescent="0.2">
      <c r="H54" s="4"/>
      <c r="I54" s="4"/>
    </row>
    <row r="55" spans="8:9" ht="12.75" customHeight="1" x14ac:dyDescent="0.2">
      <c r="H55" s="4"/>
      <c r="I55" s="4"/>
    </row>
    <row r="56" spans="8:9" ht="12.75" customHeight="1" x14ac:dyDescent="0.2">
      <c r="H56" s="4"/>
      <c r="I56" s="4"/>
    </row>
    <row r="57" spans="8:9" ht="12.75" customHeight="1" x14ac:dyDescent="0.2">
      <c r="H57" s="4"/>
      <c r="I57" s="4"/>
    </row>
    <row r="58" spans="8:9" ht="12.75" customHeight="1" x14ac:dyDescent="0.2">
      <c r="H58" s="4"/>
      <c r="I58" s="4"/>
    </row>
    <row r="59" spans="8:9" ht="12.75" customHeight="1" x14ac:dyDescent="0.2">
      <c r="H59" s="4"/>
      <c r="I59" s="4"/>
    </row>
    <row r="60" spans="8:9" ht="12.75" customHeight="1" x14ac:dyDescent="0.2">
      <c r="H60" s="4"/>
      <c r="I60" s="4"/>
    </row>
    <row r="61" spans="8:9" ht="12.75" customHeight="1" x14ac:dyDescent="0.2">
      <c r="H61" s="4"/>
      <c r="I61" s="4"/>
    </row>
    <row r="62" spans="8:9" ht="12.75" customHeight="1" x14ac:dyDescent="0.2">
      <c r="H62" s="4"/>
      <c r="I62" s="4"/>
    </row>
    <row r="63" spans="8:9" ht="12.75" customHeight="1" x14ac:dyDescent="0.2">
      <c r="H63" s="4"/>
      <c r="I63" s="4"/>
    </row>
    <row r="64" spans="8:9" ht="12.75" customHeight="1" x14ac:dyDescent="0.2">
      <c r="H64" s="4"/>
      <c r="I64" s="4"/>
    </row>
    <row r="65" spans="8:9" ht="12.75" customHeight="1" x14ac:dyDescent="0.2">
      <c r="H65" s="4"/>
      <c r="I65" s="4"/>
    </row>
    <row r="66" spans="8:9" ht="12.75" customHeight="1" x14ac:dyDescent="0.2">
      <c r="H66" s="4"/>
      <c r="I66" s="4"/>
    </row>
    <row r="67" spans="8:9" ht="12.75" customHeight="1" x14ac:dyDescent="0.2">
      <c r="H67" s="4"/>
      <c r="I67" s="4"/>
    </row>
    <row r="68" spans="8:9" ht="12.75" customHeight="1" x14ac:dyDescent="0.2">
      <c r="H68" s="4"/>
      <c r="I68" s="4"/>
    </row>
    <row r="69" spans="8:9" ht="12.75" customHeight="1" x14ac:dyDescent="0.2">
      <c r="H69" s="4"/>
      <c r="I69" s="4"/>
    </row>
    <row r="70" spans="8:9" ht="12.75" customHeight="1" x14ac:dyDescent="0.2">
      <c r="H70" s="4"/>
      <c r="I70" s="4"/>
    </row>
    <row r="71" spans="8:9" ht="12.75" customHeight="1" x14ac:dyDescent="0.2">
      <c r="H71" s="4"/>
      <c r="I71" s="4"/>
    </row>
    <row r="72" spans="8:9" ht="12.75" customHeight="1" x14ac:dyDescent="0.2">
      <c r="H72" s="4"/>
      <c r="I72" s="4"/>
    </row>
    <row r="73" spans="8:9" ht="12.75" customHeight="1" x14ac:dyDescent="0.2">
      <c r="H73" s="4"/>
      <c r="I73" s="4"/>
    </row>
    <row r="74" spans="8:9" ht="12.75" customHeight="1" x14ac:dyDescent="0.2">
      <c r="H74" s="4"/>
      <c r="I74" s="4"/>
    </row>
    <row r="75" spans="8:9" ht="12.75" customHeight="1" x14ac:dyDescent="0.2">
      <c r="H75" s="4"/>
      <c r="I75" s="4"/>
    </row>
    <row r="76" spans="8:9" ht="12.75" customHeight="1" x14ac:dyDescent="0.2">
      <c r="H76" s="4"/>
      <c r="I76" s="4"/>
    </row>
    <row r="77" spans="8:9" ht="12.75" customHeight="1" x14ac:dyDescent="0.2">
      <c r="H77" s="4"/>
      <c r="I77" s="4"/>
    </row>
    <row r="78" spans="8:9" ht="12.75" customHeight="1" x14ac:dyDescent="0.2">
      <c r="H78" s="4"/>
      <c r="I78" s="4"/>
    </row>
    <row r="79" spans="8:9" ht="12.75" customHeight="1" x14ac:dyDescent="0.2">
      <c r="H79" s="4"/>
      <c r="I79" s="4"/>
    </row>
    <row r="80" spans="8:9" ht="12.75" customHeight="1" x14ac:dyDescent="0.2">
      <c r="H80" s="4"/>
      <c r="I80" s="4"/>
    </row>
    <row r="81" spans="8:9" ht="12.75" customHeight="1" x14ac:dyDescent="0.2">
      <c r="H81" s="4"/>
      <c r="I81" s="4"/>
    </row>
    <row r="82" spans="8:9" ht="12.75" customHeight="1" x14ac:dyDescent="0.2">
      <c r="H82" s="4"/>
      <c r="I82" s="4"/>
    </row>
    <row r="83" spans="8:9" ht="12.75" customHeight="1" x14ac:dyDescent="0.2">
      <c r="H83" s="4"/>
      <c r="I83" s="4"/>
    </row>
    <row r="84" spans="8:9" ht="12.75" customHeight="1" x14ac:dyDescent="0.2">
      <c r="H84" s="4"/>
      <c r="I84" s="4"/>
    </row>
    <row r="85" spans="8:9" ht="12.75" customHeight="1" x14ac:dyDescent="0.2">
      <c r="H85" s="4"/>
      <c r="I85" s="4"/>
    </row>
    <row r="86" spans="8:9" ht="12.75" customHeight="1" x14ac:dyDescent="0.2">
      <c r="H86" s="4"/>
      <c r="I86" s="4"/>
    </row>
    <row r="87" spans="8:9" ht="12.75" customHeight="1" x14ac:dyDescent="0.2">
      <c r="H87" s="4"/>
      <c r="I87" s="4"/>
    </row>
    <row r="88" spans="8:9" ht="12.75" customHeight="1" x14ac:dyDescent="0.2">
      <c r="H88" s="4"/>
      <c r="I88" s="4"/>
    </row>
    <row r="89" spans="8:9" ht="12.75" customHeight="1" x14ac:dyDescent="0.2">
      <c r="H89" s="4"/>
      <c r="I89" s="4"/>
    </row>
    <row r="90" spans="8:9" ht="12.75" customHeight="1" x14ac:dyDescent="0.2">
      <c r="H90" s="4"/>
      <c r="I90" s="4"/>
    </row>
    <row r="91" spans="8:9" ht="12.75" customHeight="1" x14ac:dyDescent="0.2">
      <c r="H91" s="4"/>
      <c r="I91" s="4"/>
    </row>
    <row r="92" spans="8:9" ht="12.75" customHeight="1" x14ac:dyDescent="0.2">
      <c r="H92" s="4"/>
      <c r="I92" s="4"/>
    </row>
    <row r="93" spans="8:9" ht="12.75" customHeight="1" x14ac:dyDescent="0.2">
      <c r="H93" s="4"/>
      <c r="I93" s="4"/>
    </row>
    <row r="94" spans="8:9" ht="12.75" customHeight="1" x14ac:dyDescent="0.2">
      <c r="H94" s="4"/>
      <c r="I94" s="4"/>
    </row>
    <row r="95" spans="8:9" ht="12.75" customHeight="1" x14ac:dyDescent="0.2">
      <c r="H95" s="4"/>
      <c r="I95" s="4"/>
    </row>
    <row r="96" spans="8:9" ht="12.75" customHeight="1" x14ac:dyDescent="0.2">
      <c r="H96" s="4"/>
      <c r="I96" s="4"/>
    </row>
    <row r="97" spans="8:9" ht="12.75" customHeight="1" x14ac:dyDescent="0.2">
      <c r="H97" s="4"/>
      <c r="I97" s="4"/>
    </row>
    <row r="98" spans="8:9" ht="12.75" customHeight="1" x14ac:dyDescent="0.2">
      <c r="H98" s="4"/>
      <c r="I98" s="4"/>
    </row>
    <row r="99" spans="8:9" ht="12.75" customHeight="1" x14ac:dyDescent="0.2">
      <c r="H99" s="4"/>
      <c r="I99" s="4"/>
    </row>
    <row r="100" spans="8:9" ht="12.75" customHeight="1" x14ac:dyDescent="0.2">
      <c r="H100" s="4"/>
      <c r="I100" s="4"/>
    </row>
    <row r="101" spans="8:9" ht="12.75" customHeight="1" x14ac:dyDescent="0.2">
      <c r="H101" s="4"/>
      <c r="I101" s="4"/>
    </row>
    <row r="102" spans="8:9" ht="12.75" customHeight="1" x14ac:dyDescent="0.2">
      <c r="H102" s="4"/>
      <c r="I102" s="4"/>
    </row>
    <row r="103" spans="8:9" ht="12.75" customHeight="1" x14ac:dyDescent="0.2">
      <c r="H103" s="4"/>
      <c r="I103" s="4"/>
    </row>
    <row r="104" spans="8:9" ht="12.75" customHeight="1" x14ac:dyDescent="0.2">
      <c r="H104" s="4"/>
      <c r="I104" s="4"/>
    </row>
    <row r="105" spans="8:9" ht="12.75" customHeight="1" x14ac:dyDescent="0.2">
      <c r="H105" s="4"/>
      <c r="I105" s="4"/>
    </row>
    <row r="106" spans="8:9" ht="12.75" customHeight="1" x14ac:dyDescent="0.2">
      <c r="H106" s="4"/>
      <c r="I106" s="4"/>
    </row>
    <row r="107" spans="8:9" ht="12.75" customHeight="1" x14ac:dyDescent="0.2">
      <c r="H107" s="4"/>
      <c r="I107" s="4"/>
    </row>
    <row r="108" spans="8:9" ht="12.75" customHeight="1" x14ac:dyDescent="0.2">
      <c r="H108" s="4"/>
      <c r="I108" s="4"/>
    </row>
    <row r="109" spans="8:9" ht="12.75" customHeight="1" x14ac:dyDescent="0.2">
      <c r="H109" s="4"/>
      <c r="I109" s="4"/>
    </row>
    <row r="110" spans="8:9" ht="12.75" customHeight="1" x14ac:dyDescent="0.2">
      <c r="H110" s="4"/>
      <c r="I110" s="4"/>
    </row>
    <row r="111" spans="8:9" ht="12.75" customHeight="1" x14ac:dyDescent="0.2">
      <c r="H111" s="4"/>
      <c r="I111" s="4"/>
    </row>
    <row r="112" spans="8:9" ht="12.75" customHeight="1" x14ac:dyDescent="0.2">
      <c r="H112" s="4"/>
      <c r="I112" s="4"/>
    </row>
    <row r="113" spans="8:9" ht="12.75" customHeight="1" x14ac:dyDescent="0.2">
      <c r="H113" s="4"/>
      <c r="I113" s="4"/>
    </row>
    <row r="114" spans="8:9" ht="12.75" customHeight="1" x14ac:dyDescent="0.2">
      <c r="H114" s="4"/>
      <c r="I114" s="4"/>
    </row>
    <row r="115" spans="8:9" ht="12.75" customHeight="1" x14ac:dyDescent="0.2">
      <c r="H115" s="4"/>
      <c r="I115" s="4"/>
    </row>
    <row r="116" spans="8:9" ht="12.75" customHeight="1" x14ac:dyDescent="0.2">
      <c r="H116" s="4"/>
      <c r="I116" s="4"/>
    </row>
    <row r="117" spans="8:9" ht="12.75" customHeight="1" x14ac:dyDescent="0.2">
      <c r="H117" s="4"/>
      <c r="I117" s="4"/>
    </row>
    <row r="118" spans="8:9" ht="12.75" customHeight="1" x14ac:dyDescent="0.2">
      <c r="H118" s="4"/>
      <c r="I118" s="4"/>
    </row>
    <row r="119" spans="8:9" ht="12.75" customHeight="1" x14ac:dyDescent="0.2">
      <c r="H119" s="4"/>
      <c r="I119" s="4"/>
    </row>
    <row r="120" spans="8:9" ht="12.75" customHeight="1" x14ac:dyDescent="0.2">
      <c r="H120" s="4"/>
      <c r="I120" s="4"/>
    </row>
    <row r="121" spans="8:9" ht="12.75" customHeight="1" x14ac:dyDescent="0.2">
      <c r="H121" s="4"/>
      <c r="I121" s="4"/>
    </row>
    <row r="122" spans="8:9" ht="12.75" customHeight="1" x14ac:dyDescent="0.2">
      <c r="H122" s="4"/>
      <c r="I122" s="4"/>
    </row>
    <row r="123" spans="8:9" ht="12.75" customHeight="1" x14ac:dyDescent="0.2">
      <c r="H123" s="4"/>
      <c r="I123" s="4"/>
    </row>
    <row r="124" spans="8:9" ht="12.75" customHeight="1" x14ac:dyDescent="0.2">
      <c r="H124" s="4"/>
      <c r="I124" s="4"/>
    </row>
    <row r="125" spans="8:9" ht="12.75" customHeight="1" x14ac:dyDescent="0.2">
      <c r="H125" s="4"/>
      <c r="I125" s="4"/>
    </row>
    <row r="126" spans="8:9" ht="12.75" customHeight="1" x14ac:dyDescent="0.2">
      <c r="H126" s="4"/>
      <c r="I126" s="4"/>
    </row>
    <row r="127" spans="8:9" ht="12.75" customHeight="1" x14ac:dyDescent="0.2">
      <c r="H127" s="4"/>
      <c r="I127" s="4"/>
    </row>
    <row r="128" spans="8:9" ht="12.75" customHeight="1" x14ac:dyDescent="0.2">
      <c r="H128" s="4"/>
      <c r="I128" s="4"/>
    </row>
    <row r="129" spans="8:9" ht="12.75" customHeight="1" x14ac:dyDescent="0.2">
      <c r="H129" s="4"/>
      <c r="I129" s="4"/>
    </row>
    <row r="130" spans="8:9" ht="12.75" customHeight="1" x14ac:dyDescent="0.2">
      <c r="H130" s="4"/>
      <c r="I130" s="4"/>
    </row>
    <row r="131" spans="8:9" ht="12.75" customHeight="1" x14ac:dyDescent="0.2">
      <c r="H131" s="4"/>
      <c r="I131" s="4"/>
    </row>
    <row r="132" spans="8:9" ht="12.75" customHeight="1" x14ac:dyDescent="0.2">
      <c r="H132" s="4"/>
      <c r="I132" s="4"/>
    </row>
    <row r="133" spans="8:9" ht="12.75" customHeight="1" x14ac:dyDescent="0.2">
      <c r="H133" s="4"/>
      <c r="I133" s="4"/>
    </row>
    <row r="134" spans="8:9" ht="12.75" customHeight="1" x14ac:dyDescent="0.2">
      <c r="H134" s="4"/>
      <c r="I134" s="4"/>
    </row>
    <row r="135" spans="8:9" ht="12.75" customHeight="1" x14ac:dyDescent="0.2">
      <c r="H135" s="4"/>
      <c r="I135" s="4"/>
    </row>
    <row r="136" spans="8:9" ht="12.75" customHeight="1" x14ac:dyDescent="0.2">
      <c r="H136" s="4"/>
      <c r="I136" s="4"/>
    </row>
    <row r="137" spans="8:9" ht="12.75" customHeight="1" x14ac:dyDescent="0.2">
      <c r="H137" s="4"/>
      <c r="I137" s="4"/>
    </row>
    <row r="138" spans="8:9" ht="12.75" customHeight="1" x14ac:dyDescent="0.2">
      <c r="H138" s="4"/>
      <c r="I138" s="4"/>
    </row>
    <row r="139" spans="8:9" ht="12.75" customHeight="1" x14ac:dyDescent="0.2">
      <c r="H139" s="4"/>
      <c r="I139" s="4"/>
    </row>
    <row r="140" spans="8:9" ht="12.75" customHeight="1" x14ac:dyDescent="0.2">
      <c r="H140" s="4"/>
      <c r="I140" s="4"/>
    </row>
    <row r="141" spans="8:9" ht="12.75" customHeight="1" x14ac:dyDescent="0.2">
      <c r="H141" s="4"/>
      <c r="I141" s="4"/>
    </row>
    <row r="142" spans="8:9" ht="12.75" customHeight="1" x14ac:dyDescent="0.2">
      <c r="H142" s="4"/>
      <c r="I142" s="4"/>
    </row>
    <row r="143" spans="8:9" ht="12.75" customHeight="1" x14ac:dyDescent="0.2">
      <c r="H143" s="4"/>
      <c r="I143" s="4"/>
    </row>
    <row r="144" spans="8:9" ht="12.75" customHeight="1" x14ac:dyDescent="0.2">
      <c r="H144" s="4"/>
      <c r="I144" s="4"/>
    </row>
    <row r="145" spans="8:9" ht="12.75" customHeight="1" x14ac:dyDescent="0.2">
      <c r="H145" s="4"/>
      <c r="I145" s="4"/>
    </row>
    <row r="146" spans="8:9" ht="12.75" customHeight="1" x14ac:dyDescent="0.2">
      <c r="H146" s="4"/>
      <c r="I146" s="4"/>
    </row>
    <row r="147" spans="8:9" ht="12.75" customHeight="1" x14ac:dyDescent="0.2">
      <c r="H147" s="4"/>
      <c r="I147" s="4"/>
    </row>
    <row r="148" spans="8:9" ht="12.75" customHeight="1" x14ac:dyDescent="0.2">
      <c r="H148" s="4"/>
      <c r="I148" s="4"/>
    </row>
    <row r="149" spans="8:9" ht="12.75" customHeight="1" x14ac:dyDescent="0.2">
      <c r="H149" s="4"/>
      <c r="I149" s="4"/>
    </row>
    <row r="150" spans="8:9" ht="12.75" customHeight="1" x14ac:dyDescent="0.2">
      <c r="H150" s="4"/>
      <c r="I150" s="4"/>
    </row>
    <row r="151" spans="8:9" ht="12.75" customHeight="1" x14ac:dyDescent="0.2">
      <c r="H151" s="4"/>
      <c r="I151" s="4"/>
    </row>
    <row r="152" spans="8:9" ht="12.75" customHeight="1" x14ac:dyDescent="0.2">
      <c r="H152" s="4"/>
      <c r="I152" s="4"/>
    </row>
    <row r="153" spans="8:9" ht="12.75" customHeight="1" x14ac:dyDescent="0.2">
      <c r="H153" s="4"/>
      <c r="I153" s="4"/>
    </row>
    <row r="154" spans="8:9" ht="12.75" customHeight="1" x14ac:dyDescent="0.2">
      <c r="H154" s="4"/>
      <c r="I154" s="4"/>
    </row>
    <row r="155" spans="8:9" ht="12.75" customHeight="1" x14ac:dyDescent="0.2">
      <c r="H155" s="4"/>
      <c r="I155" s="4"/>
    </row>
    <row r="156" spans="8:9" ht="12.75" customHeight="1" x14ac:dyDescent="0.2">
      <c r="H156" s="4"/>
      <c r="I156" s="4"/>
    </row>
    <row r="157" spans="8:9" ht="12.75" customHeight="1" x14ac:dyDescent="0.2">
      <c r="H157" s="4"/>
      <c r="I157" s="4"/>
    </row>
    <row r="158" spans="8:9" ht="12.75" customHeight="1" x14ac:dyDescent="0.2">
      <c r="H158" s="4"/>
      <c r="I158" s="4"/>
    </row>
    <row r="159" spans="8:9" ht="12.75" customHeight="1" x14ac:dyDescent="0.2">
      <c r="H159" s="4"/>
      <c r="I159" s="4"/>
    </row>
    <row r="160" spans="8:9" ht="12.75" customHeight="1" x14ac:dyDescent="0.2">
      <c r="H160" s="4"/>
      <c r="I160" s="4"/>
    </row>
    <row r="161" spans="8:9" ht="12.75" customHeight="1" x14ac:dyDescent="0.2">
      <c r="H161" s="4"/>
      <c r="I161" s="4"/>
    </row>
    <row r="162" spans="8:9" ht="12.75" customHeight="1" x14ac:dyDescent="0.2">
      <c r="H162" s="4"/>
      <c r="I162" s="4"/>
    </row>
    <row r="163" spans="8:9" ht="12.75" customHeight="1" x14ac:dyDescent="0.2">
      <c r="H163" s="4"/>
      <c r="I163" s="4"/>
    </row>
    <row r="164" spans="8:9" ht="12.75" customHeight="1" x14ac:dyDescent="0.2">
      <c r="H164" s="4"/>
      <c r="I164" s="4"/>
    </row>
    <row r="165" spans="8:9" ht="12.75" customHeight="1" x14ac:dyDescent="0.2">
      <c r="H165" s="4"/>
      <c r="I165" s="4"/>
    </row>
    <row r="166" spans="8:9" ht="12.75" customHeight="1" x14ac:dyDescent="0.2">
      <c r="H166" s="4"/>
      <c r="I166" s="4"/>
    </row>
    <row r="167" spans="8:9" ht="12.75" customHeight="1" x14ac:dyDescent="0.2">
      <c r="H167" s="4"/>
      <c r="I167" s="4"/>
    </row>
    <row r="168" spans="8:9" ht="12.75" customHeight="1" x14ac:dyDescent="0.2">
      <c r="H168" s="4"/>
      <c r="I168" s="4"/>
    </row>
    <row r="169" spans="8:9" ht="12.75" customHeight="1" x14ac:dyDescent="0.2">
      <c r="H169" s="4"/>
      <c r="I169" s="4"/>
    </row>
    <row r="170" spans="8:9" ht="12.75" customHeight="1" x14ac:dyDescent="0.2">
      <c r="H170" s="4"/>
      <c r="I170" s="4"/>
    </row>
    <row r="171" spans="8:9" ht="12.75" customHeight="1" x14ac:dyDescent="0.2">
      <c r="H171" s="4"/>
      <c r="I171" s="4"/>
    </row>
    <row r="172" spans="8:9" ht="12.75" customHeight="1" x14ac:dyDescent="0.2">
      <c r="H172" s="4"/>
      <c r="I172" s="4"/>
    </row>
    <row r="173" spans="8:9" ht="12.75" customHeight="1" x14ac:dyDescent="0.2">
      <c r="H173" s="4"/>
      <c r="I173" s="4"/>
    </row>
    <row r="174" spans="8:9" ht="12.75" customHeight="1" x14ac:dyDescent="0.2">
      <c r="H174" s="4"/>
      <c r="I174" s="4"/>
    </row>
    <row r="175" spans="8:9" ht="12.75" customHeight="1" x14ac:dyDescent="0.2">
      <c r="H175" s="4"/>
      <c r="I175" s="4"/>
    </row>
    <row r="176" spans="8:9" ht="12.75" customHeight="1" x14ac:dyDescent="0.2">
      <c r="H176" s="4"/>
      <c r="I176" s="4"/>
    </row>
    <row r="177" spans="8:9" ht="12.75" customHeight="1" x14ac:dyDescent="0.2">
      <c r="H177" s="4"/>
      <c r="I177" s="4"/>
    </row>
    <row r="178" spans="8:9" ht="12.75" customHeight="1" x14ac:dyDescent="0.2">
      <c r="H178" s="4"/>
      <c r="I178" s="4"/>
    </row>
    <row r="179" spans="8:9" ht="12.75" customHeight="1" x14ac:dyDescent="0.2">
      <c r="H179" s="4"/>
      <c r="I179" s="4"/>
    </row>
    <row r="180" spans="8:9" ht="12.75" customHeight="1" x14ac:dyDescent="0.2">
      <c r="H180" s="4"/>
      <c r="I180" s="4"/>
    </row>
    <row r="181" spans="8:9" ht="12.75" customHeight="1" x14ac:dyDescent="0.2">
      <c r="H181" s="4"/>
      <c r="I181" s="4"/>
    </row>
    <row r="182" spans="8:9" ht="12.75" customHeight="1" x14ac:dyDescent="0.2">
      <c r="H182" s="4"/>
      <c r="I182" s="4"/>
    </row>
    <row r="183" spans="8:9" ht="12.75" customHeight="1" x14ac:dyDescent="0.2">
      <c r="H183" s="4"/>
      <c r="I183" s="4"/>
    </row>
    <row r="184" spans="8:9" ht="12.75" customHeight="1" x14ac:dyDescent="0.2">
      <c r="H184" s="4"/>
      <c r="I184" s="4"/>
    </row>
    <row r="185" spans="8:9" ht="12.75" customHeight="1" x14ac:dyDescent="0.2">
      <c r="H185" s="4"/>
      <c r="I185" s="4"/>
    </row>
    <row r="186" spans="8:9" ht="12.75" customHeight="1" x14ac:dyDescent="0.2">
      <c r="H186" s="4"/>
      <c r="I186" s="4"/>
    </row>
    <row r="187" spans="8:9" ht="12.75" customHeight="1" x14ac:dyDescent="0.2">
      <c r="H187" s="4"/>
      <c r="I187" s="4"/>
    </row>
    <row r="188" spans="8:9" ht="12.75" customHeight="1" x14ac:dyDescent="0.2">
      <c r="H188" s="4"/>
      <c r="I188" s="4"/>
    </row>
    <row r="189" spans="8:9" ht="12.75" customHeight="1" x14ac:dyDescent="0.2">
      <c r="H189" s="4"/>
      <c r="I189" s="4"/>
    </row>
    <row r="190" spans="8:9" ht="12.75" customHeight="1" x14ac:dyDescent="0.2">
      <c r="H190" s="4"/>
      <c r="I190" s="4"/>
    </row>
    <row r="191" spans="8:9" ht="12.75" customHeight="1" x14ac:dyDescent="0.2">
      <c r="H191" s="4"/>
      <c r="I191" s="4"/>
    </row>
    <row r="192" spans="8:9" ht="12.75" customHeight="1" x14ac:dyDescent="0.2">
      <c r="H192" s="4"/>
      <c r="I192" s="4"/>
    </row>
    <row r="193" spans="8:9" ht="12.75" customHeight="1" x14ac:dyDescent="0.2">
      <c r="H193" s="4"/>
      <c r="I193" s="4"/>
    </row>
    <row r="194" spans="8:9" ht="12.75" customHeight="1" x14ac:dyDescent="0.2">
      <c r="H194" s="4"/>
      <c r="I194" s="4"/>
    </row>
    <row r="195" spans="8:9" ht="12.75" customHeight="1" x14ac:dyDescent="0.2">
      <c r="H195" s="4"/>
      <c r="I195" s="4"/>
    </row>
    <row r="196" spans="8:9" ht="12.75" customHeight="1" x14ac:dyDescent="0.2">
      <c r="H196" s="4"/>
      <c r="I196" s="4"/>
    </row>
    <row r="197" spans="8:9" ht="12.75" customHeight="1" x14ac:dyDescent="0.2">
      <c r="H197" s="4"/>
      <c r="I197" s="4"/>
    </row>
    <row r="198" spans="8:9" ht="12.75" customHeight="1" x14ac:dyDescent="0.2">
      <c r="H198" s="4"/>
      <c r="I198" s="4"/>
    </row>
    <row r="199" spans="8:9" ht="12.75" customHeight="1" x14ac:dyDescent="0.2">
      <c r="H199" s="4"/>
      <c r="I199" s="4"/>
    </row>
    <row r="200" spans="8:9" ht="12.75" customHeight="1" x14ac:dyDescent="0.2">
      <c r="H200" s="4"/>
      <c r="I200" s="4"/>
    </row>
    <row r="201" spans="8:9" ht="12.75" customHeight="1" x14ac:dyDescent="0.2">
      <c r="H201" s="4"/>
      <c r="I201" s="4"/>
    </row>
    <row r="202" spans="8:9" ht="12.75" customHeight="1" x14ac:dyDescent="0.2">
      <c r="H202" s="4"/>
      <c r="I202" s="4"/>
    </row>
    <row r="203" spans="8:9" ht="12.75" customHeight="1" x14ac:dyDescent="0.2">
      <c r="H203" s="4"/>
      <c r="I203" s="4"/>
    </row>
    <row r="204" spans="8:9" ht="12.75" customHeight="1" x14ac:dyDescent="0.2">
      <c r="H204" s="4"/>
      <c r="I204" s="4"/>
    </row>
    <row r="205" spans="8:9" ht="12.75" customHeight="1" x14ac:dyDescent="0.2">
      <c r="H205" s="4"/>
      <c r="I205" s="4"/>
    </row>
    <row r="206" spans="8:9" ht="12.75" customHeight="1" x14ac:dyDescent="0.2">
      <c r="H206" s="4"/>
      <c r="I206" s="4"/>
    </row>
    <row r="207" spans="8:9" ht="12.75" customHeight="1" x14ac:dyDescent="0.2">
      <c r="H207" s="4"/>
      <c r="I207" s="4"/>
    </row>
    <row r="208" spans="8:9" ht="12.75" customHeight="1" x14ac:dyDescent="0.2">
      <c r="H208" s="4"/>
      <c r="I208" s="4"/>
    </row>
    <row r="209" spans="8:9" ht="12.75" customHeight="1" x14ac:dyDescent="0.2">
      <c r="H209" s="4"/>
      <c r="I209" s="4"/>
    </row>
    <row r="210" spans="8:9" ht="12.75" customHeight="1" x14ac:dyDescent="0.2">
      <c r="H210" s="4"/>
      <c r="I210" s="4"/>
    </row>
    <row r="211" spans="8:9" ht="12.75" customHeight="1" x14ac:dyDescent="0.2">
      <c r="H211" s="4"/>
      <c r="I211" s="4"/>
    </row>
    <row r="212" spans="8:9" ht="12.75" customHeight="1" x14ac:dyDescent="0.2">
      <c r="H212" s="4"/>
      <c r="I212" s="4"/>
    </row>
    <row r="213" spans="8:9" ht="12.75" customHeight="1" x14ac:dyDescent="0.2">
      <c r="H213" s="4"/>
      <c r="I213" s="4"/>
    </row>
    <row r="214" spans="8:9" ht="12.75" customHeight="1" x14ac:dyDescent="0.2">
      <c r="H214" s="4"/>
      <c r="I214" s="4"/>
    </row>
    <row r="215" spans="8:9" ht="12.75" customHeight="1" x14ac:dyDescent="0.2">
      <c r="H215" s="4"/>
      <c r="I215" s="4"/>
    </row>
    <row r="216" spans="8:9" ht="12.75" customHeight="1" x14ac:dyDescent="0.2">
      <c r="H216" s="4"/>
      <c r="I216" s="4"/>
    </row>
    <row r="217" spans="8:9" ht="12.75" customHeight="1" x14ac:dyDescent="0.2">
      <c r="H217" s="4"/>
      <c r="I217" s="4"/>
    </row>
    <row r="218" spans="8:9" ht="12.75" customHeight="1" x14ac:dyDescent="0.2">
      <c r="H218" s="4"/>
      <c r="I218" s="4"/>
    </row>
    <row r="219" spans="8:9" ht="12.75" customHeight="1" x14ac:dyDescent="0.2">
      <c r="H219" s="4"/>
      <c r="I219" s="4"/>
    </row>
    <row r="220" spans="8:9" ht="12.75" customHeight="1" x14ac:dyDescent="0.2">
      <c r="H220" s="4"/>
      <c r="I220" s="4"/>
    </row>
    <row r="221" spans="8:9" ht="12.75" customHeight="1" x14ac:dyDescent="0.2">
      <c r="H221" s="4"/>
      <c r="I221" s="4"/>
    </row>
    <row r="222" spans="8:9" ht="12.75" customHeight="1" x14ac:dyDescent="0.2">
      <c r="H222" s="4"/>
      <c r="I222" s="4"/>
    </row>
    <row r="223" spans="8:9" ht="12.75" customHeight="1" x14ac:dyDescent="0.2">
      <c r="H223" s="4"/>
      <c r="I223" s="4"/>
    </row>
    <row r="224" spans="8:9" ht="12.75" customHeight="1" x14ac:dyDescent="0.2">
      <c r="H224" s="4"/>
      <c r="I224" s="4"/>
    </row>
    <row r="225" spans="8:9" ht="12.75" customHeight="1" x14ac:dyDescent="0.2">
      <c r="H225" s="4"/>
      <c r="I225" s="4"/>
    </row>
    <row r="226" spans="8:9" ht="12.75" customHeight="1" x14ac:dyDescent="0.2">
      <c r="H226" s="4"/>
      <c r="I226" s="4"/>
    </row>
    <row r="227" spans="8:9" ht="12.75" customHeight="1" x14ac:dyDescent="0.2">
      <c r="H227" s="4"/>
      <c r="I227" s="4"/>
    </row>
    <row r="228" spans="8:9" ht="12.75" customHeight="1" x14ac:dyDescent="0.2">
      <c r="H228" s="4"/>
      <c r="I228" s="4"/>
    </row>
    <row r="229" spans="8:9" ht="12.75" customHeight="1" x14ac:dyDescent="0.2">
      <c r="H229" s="4"/>
      <c r="I229" s="4"/>
    </row>
    <row r="230" spans="8:9" ht="12.75" customHeight="1" x14ac:dyDescent="0.2">
      <c r="H230" s="4"/>
      <c r="I230" s="4"/>
    </row>
    <row r="231" spans="8:9" ht="12.75" customHeight="1" x14ac:dyDescent="0.2">
      <c r="H231" s="4"/>
      <c r="I231" s="4"/>
    </row>
    <row r="232" spans="8:9" ht="12.75" customHeight="1" x14ac:dyDescent="0.2">
      <c r="H232" s="4"/>
      <c r="I232" s="4"/>
    </row>
    <row r="233" spans="8:9" ht="12.75" customHeight="1" x14ac:dyDescent="0.2">
      <c r="H233" s="4"/>
      <c r="I233" s="4"/>
    </row>
    <row r="234" spans="8:9" ht="12.75" customHeight="1" x14ac:dyDescent="0.2">
      <c r="H234" s="4"/>
      <c r="I234" s="4"/>
    </row>
    <row r="235" spans="8:9" ht="12.75" customHeight="1" x14ac:dyDescent="0.2">
      <c r="H235" s="4"/>
      <c r="I235" s="4"/>
    </row>
    <row r="236" spans="8:9" ht="12.75" customHeight="1" x14ac:dyDescent="0.2">
      <c r="H236" s="4"/>
      <c r="I236" s="4"/>
    </row>
    <row r="237" spans="8:9" ht="12.75" customHeight="1" x14ac:dyDescent="0.2">
      <c r="H237" s="4"/>
      <c r="I237" s="4"/>
    </row>
    <row r="238" spans="8:9" ht="12.75" customHeight="1" x14ac:dyDescent="0.2">
      <c r="H238" s="4"/>
      <c r="I238" s="4"/>
    </row>
    <row r="239" spans="8:9" ht="12.75" customHeight="1" x14ac:dyDescent="0.2">
      <c r="H239" s="4"/>
      <c r="I239" s="4"/>
    </row>
    <row r="240" spans="8:9" ht="12.75" customHeight="1" x14ac:dyDescent="0.2">
      <c r="H240" s="4"/>
      <c r="I240" s="4"/>
    </row>
    <row r="241" spans="8:9" ht="12.75" customHeight="1" x14ac:dyDescent="0.2">
      <c r="H241" s="4"/>
      <c r="I241" s="4"/>
    </row>
    <row r="242" spans="8:9" ht="12.75" customHeight="1" x14ac:dyDescent="0.2">
      <c r="H242" s="4"/>
      <c r="I242" s="4"/>
    </row>
    <row r="243" spans="8:9" ht="12.75" customHeight="1" x14ac:dyDescent="0.2">
      <c r="H243" s="4"/>
      <c r="I243" s="4"/>
    </row>
    <row r="244" spans="8:9" ht="12.75" customHeight="1" x14ac:dyDescent="0.2">
      <c r="H244" s="4"/>
      <c r="I244" s="4"/>
    </row>
    <row r="245" spans="8:9" ht="15.75" customHeight="1" x14ac:dyDescent="0.2"/>
    <row r="246" spans="8:9" ht="15.75" customHeight="1" x14ac:dyDescent="0.2"/>
    <row r="247" spans="8:9" ht="15.75" customHeight="1" x14ac:dyDescent="0.2"/>
    <row r="248" spans="8:9" ht="15.75" customHeight="1" x14ac:dyDescent="0.2"/>
    <row r="249" spans="8:9" ht="15.75" customHeight="1" x14ac:dyDescent="0.2"/>
    <row r="250" spans="8:9" ht="15.75" customHeight="1" x14ac:dyDescent="0.2"/>
    <row r="251" spans="8:9" ht="15.75" customHeight="1" x14ac:dyDescent="0.2"/>
    <row r="252" spans="8:9" ht="15.75" customHeight="1" x14ac:dyDescent="0.2"/>
    <row r="253" spans="8:9" ht="15.75" customHeight="1" x14ac:dyDescent="0.2"/>
    <row r="254" spans="8:9" ht="15.75" customHeight="1" x14ac:dyDescent="0.2"/>
    <row r="255" spans="8:9" ht="15.75" customHeight="1" x14ac:dyDescent="0.2"/>
    <row r="256" spans="8:9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1" right="1" top="1.6666666666666701" bottom="1.666666666666670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ECE411 BOM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Edward Tsoi</cp:lastModifiedBy>
  <dcterms:modified xsi:type="dcterms:W3CDTF">2025-11-13T13:22:40Z</dcterms:modified>
</cp:coreProperties>
</file>