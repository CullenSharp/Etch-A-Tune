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<sst xmlns="http://schemas.openxmlformats.org/spreadsheetml/2006/main" count="108" uniqueCount="85">
  <si>
    <t>Bill Of Materials for: [7] [Etch A Tune]</t>
  </si>
  <si>
    <t>Last modified: [11/13/25]</t>
  </si>
  <si>
    <t>PCB version: [PCB VERSION 1]</t>
  </si>
  <si>
    <t>BOM revision: [BOM REVISION 1]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</si>
  <si>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</si>
  <si>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</si>
  <si>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</si>
  <si>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</si>
  <si>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</si>
  <si>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</si>
  <si>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</si>
  <si>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</si>
  <si>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</si>
  <si>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BT1</t>
  </si>
  <si>
    <t>1042P</t>
  </si>
  <si>
    <t>BATTERY HOLDER 18650 SMD</t>
  </si>
  <si>
    <t>Digikey</t>
  </si>
  <si>
    <t>36-1042P-ND</t>
  </si>
  <si>
    <t>&gt;  C1-C6</t>
  </si>
  <si>
    <t>CL10E104KC8VPNC</t>
  </si>
  <si>
    <t>CAP CER 100NF 100V X8L 0603</t>
  </si>
  <si>
    <t>1276-CL10E104KC8VPNCCT-ND</t>
  </si>
  <si>
    <t>C7</t>
  </si>
  <si>
    <t>IC1</t>
  </si>
  <si>
    <t>BQ25170DSGR</t>
  </si>
  <si>
    <t>800-MA LINEAR BATTERY CHARGER FO</t>
  </si>
  <si>
    <t>296-BQ25170DSGRCT-ND</t>
  </si>
  <si>
    <t>J1</t>
  </si>
  <si>
    <t>RSM-114-02-T-S</t>
  </si>
  <si>
    <t>CONN RCPT 14POS 0.05 TIN SMD</t>
  </si>
  <si>
    <t>RSM-114-02-T-S-ND</t>
  </si>
  <si>
    <t>J2</t>
  </si>
  <si>
    <t>91601-304ALF</t>
  </si>
  <si>
    <t>CONN RCPT 4POS 0.1 GOLD SMD</t>
  </si>
  <si>
    <t>609-91601-304ALFCT-ND</t>
  </si>
  <si>
    <t>J3</t>
  </si>
  <si>
    <t>M20-7910542R</t>
  </si>
  <si>
    <t>CONN RCPT 5POS 0.1 GOLD SMD R/A</t>
  </si>
  <si>
    <t>952-3198-1-ND</t>
  </si>
  <si>
    <t>J4</t>
  </si>
  <si>
    <t>CONN RCP USB2.0 TYP C 24P SMD RA</t>
  </si>
  <si>
    <t>900-2171790001CT-ND</t>
  </si>
  <si>
    <t>L1</t>
  </si>
  <si>
    <t>BRL3225T2R2M</t>
  </si>
  <si>
    <t>FIXED IND 2.2UH 1.6A 78 MOHM SMD</t>
  </si>
  <si>
    <t>587-2165-1-ND</t>
  </si>
  <si>
    <t>MT1, MT2</t>
  </si>
  <si>
    <t>RIC11-31S15D7-GSMT</t>
  </si>
  <si>
    <t>ENCODER INCREM QUAD VERT SMD/SMT</t>
  </si>
  <si>
    <t>2223-RIC11-31S15D7-GSMT-ND</t>
  </si>
  <si>
    <t xml:space="preserve"> R1-R18</t>
  </si>
  <si>
    <t>RC0603FR-0710KL</t>
  </si>
  <si>
    <t>RES 10K OHM 1% 1/10W 0603</t>
  </si>
  <si>
    <t>311-10.0KHRCT-ND</t>
  </si>
  <si>
    <t>R19</t>
  </si>
  <si>
    <t>&gt;  S1-S5</t>
  </si>
  <si>
    <t>B3AL-1005P</t>
  </si>
  <si>
    <t>SWITCH TACTILE SPST-NO 0.05A 16V</t>
  </si>
  <si>
    <t>Z7816CT-ND</t>
  </si>
  <si>
    <t>S6</t>
  </si>
  <si>
    <t>SWITCH SLIDE SPDT 0.3A 5V</t>
  </si>
  <si>
    <t xml:space="preserve"> TP1-TP13</t>
  </si>
  <si>
    <t>TestPoint</t>
  </si>
  <si>
    <t>1mm Test point</t>
  </si>
  <si>
    <t>U1</t>
  </si>
  <si>
    <t>BQ29700DSER</t>
  </si>
  <si>
    <t>IC BATT PROT LI-ION 1CELL 6WSON</t>
  </si>
  <si>
    <t>296-43985-1-ND</t>
  </si>
  <si>
    <t>&gt;  U2, U3</t>
  </si>
  <si>
    <t>CSD16406Q3</t>
  </si>
  <si>
    <t>MOSFET N-CH 25V 19A/60A 8VSON</t>
  </si>
  <si>
    <t>296-24251-1-ND</t>
  </si>
  <si>
    <t>U4</t>
  </si>
  <si>
    <t>TPS62063DSGR</t>
  </si>
  <si>
    <t>IC REG BUCK 3.3V 1.6A 8WSON</t>
  </si>
  <si>
    <t>296-38304-6-ND</t>
  </si>
  <si>
    <t>U5</t>
  </si>
  <si>
    <t>STM32H7A3ZIT6Q</t>
  </si>
  <si>
    <t>ARM® Cortex®-M7 STM32H7 Microcontroller IC 32-Bit 280MHz 2MB (2M x 8) FLASH 144-LQFP (20x20)</t>
  </si>
  <si>
    <t>497-STM32H7A3ZIT6Q-ND</t>
  </si>
  <si>
    <t>TOTAL:</t>
  </si>
  <si>
    <t>VERSION INFO</t>
  </si>
  <si>
    <t>Rev</t>
  </si>
  <si>
    <t>Date</t>
  </si>
  <si>
    <t>1.0r0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</si>
</sst>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8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9.0"/>
      <color rgb="FF222222"/>
      <name val="Roboto"/>
    </font>
    <font>
      <sz val="9.0"/>
      <color rgb="FF444444"/>
      <name val="Roboto"/>
    </font>
    <font>
      <sz val="8.0"/>
      <color rgb="FF222222"/>
      <name val="Roboto"/>
    </font>
    <font>
      <b/>
      <sz val="9.0"/>
      <color rgb="FF222222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3" fontId="4" numFmtId="164" xfId="0" applyAlignment="1" applyFill="1" applyFont="1" applyNumberFormat="1">
      <alignment horizontal="left" readingOrder="0" shrinkToFit="0" wrapText="0"/>
    </xf>
    <xf borderId="0" fillId="0" fontId="1" numFmtId="164" xfId="0" applyAlignment="1" applyFont="1" applyNumberFormat="1">
      <alignment horizontal="left"/>
    </xf>
    <xf borderId="0" fillId="3" fontId="5" numFmtId="0" xfId="0" applyAlignment="1" applyFont="1">
      <alignment horizontal="left" readingOrder="0"/>
    </xf>
    <xf borderId="0" fillId="3" fontId="4" numFmtId="164" xfId="0" applyAlignment="1" applyFont="1" applyNumberFormat="1">
      <alignment horizontal="left" readingOrder="0" shrinkToFit="0" vertical="bottom" wrapText="0"/>
    </xf>
    <xf borderId="0" fillId="3" fontId="5" numFmtId="0" xfId="0" applyAlignment="1" applyFont="1">
      <alignment horizontal="left" readingOrder="0" vertical="top"/>
    </xf>
    <xf borderId="0" fillId="3" fontId="4" numFmtId="0" xfId="0" applyAlignment="1" applyFont="1">
      <alignment horizontal="right" shrinkToFit="0" vertical="bottom" wrapText="0"/>
    </xf>
    <xf borderId="0" fillId="3" fontId="6" numFmtId="0" xfId="0" applyFont="1"/>
    <xf borderId="0" fillId="3" fontId="7" numFmtId="0" xfId="0" applyAlignment="1" applyFont="1">
      <alignment horizontal="left" shrinkToFit="0" vertical="bottom" wrapText="0"/>
    </xf>
    <xf borderId="0" fillId="3" fontId="4" numFmtId="164" xfId="0" applyAlignment="1" applyFont="1" applyNumberFormat="1">
      <alignment horizontal="left" readingOrder="0" shrinkToFit="0" wrapText="0"/>
    </xf>
    <xf borderId="0" fillId="3" fontId="6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3" fontId="4" numFmtId="164" xfId="0" applyAlignment="1" applyFont="1" applyNumberFormat="1">
      <alignment horizontal="left" readingOrder="0" shrinkToFit="0" vertical="bottom" wrapText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14"/>
    <col customWidth="1" min="2" max="2" width="30.71"/>
    <col customWidth="1" min="3" max="3" width="13.0"/>
    <col customWidth="1" min="4" max="4" width="26.43"/>
    <col customWidth="1" min="5" max="5" width="49.29"/>
    <col customWidth="1" min="6" max="6" width="9.0"/>
    <col customWidth="1" min="7" max="7" width="20.86"/>
    <col customWidth="1" min="8" max="9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5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5"/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10">
        <v>1.0</v>
      </c>
      <c r="B7" s="10" t="s">
        <v>13</v>
      </c>
      <c r="C7" s="11"/>
      <c r="D7" s="10" t="s">
        <v>14</v>
      </c>
      <c r="E7" s="12" t="s">
        <v>15</v>
      </c>
      <c r="F7" s="10" t="s">
        <v>16</v>
      </c>
      <c r="G7" s="10" t="s">
        <v>17</v>
      </c>
      <c r="H7" s="13">
        <v>5.54</v>
      </c>
      <c r="I7" s="14">
        <f t="shared" ref="I7:I25" si="1">$H7*$A7</f>
        <v>5.54</v>
      </c>
    </row>
    <row r="8" ht="12.75" customHeight="1">
      <c r="A8" s="10">
        <v>6.0</v>
      </c>
      <c r="B8" s="10" t="s">
        <v>18</v>
      </c>
      <c r="C8" s="11"/>
      <c r="D8" s="10" t="s">
        <v>19</v>
      </c>
      <c r="E8" s="12" t="s">
        <v>20</v>
      </c>
      <c r="F8" s="10" t="s">
        <v>16</v>
      </c>
      <c r="G8" s="10" t="s">
        <v>21</v>
      </c>
      <c r="H8" s="13">
        <v>0.25</v>
      </c>
      <c r="I8" s="14">
        <f t="shared" si="1"/>
        <v>1.5</v>
      </c>
    </row>
    <row r="9" ht="12.75" customHeight="1">
      <c r="A9" s="10">
        <v>1.0</v>
      </c>
      <c r="B9" s="10" t="s">
        <v>22</v>
      </c>
      <c r="C9" s="11"/>
      <c r="D9" s="10" t="s">
        <v>19</v>
      </c>
      <c r="E9" s="12" t="s">
        <v>20</v>
      </c>
      <c r="F9" s="10" t="s">
        <v>16</v>
      </c>
      <c r="G9" s="10" t="s">
        <v>21</v>
      </c>
      <c r="H9" s="13">
        <v>0.25</v>
      </c>
      <c r="I9" s="14">
        <f t="shared" si="1"/>
        <v>0.25</v>
      </c>
    </row>
    <row r="10" ht="12.75" customHeight="1">
      <c r="A10" s="10">
        <v>1.0</v>
      </c>
      <c r="B10" s="10" t="s">
        <v>23</v>
      </c>
      <c r="C10" s="11"/>
      <c r="D10" s="10" t="s">
        <v>24</v>
      </c>
      <c r="E10" s="15" t="s">
        <v>25</v>
      </c>
      <c r="F10" s="10" t="s">
        <v>16</v>
      </c>
      <c r="G10" s="10" t="s">
        <v>26</v>
      </c>
      <c r="H10" s="16">
        <v>0.96</v>
      </c>
      <c r="I10" s="14">
        <f t="shared" si="1"/>
        <v>0.96</v>
      </c>
    </row>
    <row r="11" ht="12.75" customHeight="1">
      <c r="A11" s="10">
        <v>1.0</v>
      </c>
      <c r="B11" s="10" t="s">
        <v>27</v>
      </c>
      <c r="C11" s="11"/>
      <c r="D11" s="10" t="s">
        <v>28</v>
      </c>
      <c r="E11" s="12" t="s">
        <v>29</v>
      </c>
      <c r="F11" s="10" t="s">
        <v>16</v>
      </c>
      <c r="G11" s="17" t="s">
        <v>30</v>
      </c>
      <c r="H11" s="13">
        <v>3.2</v>
      </c>
      <c r="I11" s="14">
        <f t="shared" si="1"/>
        <v>3.2</v>
      </c>
      <c r="L11" s="18"/>
    </row>
    <row r="12" ht="12.75" customHeight="1">
      <c r="A12" s="10">
        <v>1.0</v>
      </c>
      <c r="B12" s="10" t="s">
        <v>31</v>
      </c>
      <c r="C12" s="11"/>
      <c r="D12" s="10" t="s">
        <v>32</v>
      </c>
      <c r="E12" s="12" t="s">
        <v>33</v>
      </c>
      <c r="F12" s="10" t="s">
        <v>16</v>
      </c>
      <c r="G12" s="10" t="s">
        <v>34</v>
      </c>
      <c r="H12" s="13">
        <v>0.76</v>
      </c>
      <c r="I12" s="14">
        <f t="shared" si="1"/>
        <v>0.76</v>
      </c>
      <c r="K12" s="19"/>
    </row>
    <row r="13" ht="12.75" customHeight="1">
      <c r="A13" s="10">
        <v>1.0</v>
      </c>
      <c r="B13" s="10" t="s">
        <v>35</v>
      </c>
      <c r="C13" s="11"/>
      <c r="D13" s="10" t="s">
        <v>36</v>
      </c>
      <c r="E13" s="12" t="s">
        <v>37</v>
      </c>
      <c r="F13" s="10" t="s">
        <v>16</v>
      </c>
      <c r="G13" s="10" t="s">
        <v>38</v>
      </c>
      <c r="H13" s="13">
        <v>1.06</v>
      </c>
      <c r="I13" s="14">
        <f t="shared" si="1"/>
        <v>1.06</v>
      </c>
    </row>
    <row r="14" ht="12.75" customHeight="1">
      <c r="A14" s="10">
        <v>1.0</v>
      </c>
      <c r="B14" s="10" t="s">
        <v>39</v>
      </c>
      <c r="C14" s="11"/>
      <c r="D14" s="10">
        <v>2.171790001E9</v>
      </c>
      <c r="E14" s="12" t="s">
        <v>40</v>
      </c>
      <c r="F14" s="10" t="s">
        <v>16</v>
      </c>
      <c r="G14" s="10" t="s">
        <v>41</v>
      </c>
      <c r="H14" s="13">
        <v>0.83</v>
      </c>
      <c r="I14" s="14">
        <f t="shared" si="1"/>
        <v>0.83</v>
      </c>
      <c r="K14" s="20"/>
    </row>
    <row r="15" ht="12.75" customHeight="1">
      <c r="A15" s="10">
        <v>1.0</v>
      </c>
      <c r="B15" s="10" t="s">
        <v>42</v>
      </c>
      <c r="C15" s="11"/>
      <c r="D15" s="10" t="s">
        <v>43</v>
      </c>
      <c r="E15" s="12" t="s">
        <v>44</v>
      </c>
      <c r="F15" s="10" t="s">
        <v>16</v>
      </c>
      <c r="G15" s="10" t="s">
        <v>45</v>
      </c>
      <c r="H15" s="16">
        <v>0.16</v>
      </c>
      <c r="I15" s="14">
        <f t="shared" si="1"/>
        <v>0.16</v>
      </c>
      <c r="K15" s="19"/>
      <c r="L15" s="18"/>
    </row>
    <row r="16" ht="12.75" customHeight="1">
      <c r="A16" s="10">
        <v>2.0</v>
      </c>
      <c r="B16" s="10" t="s">
        <v>46</v>
      </c>
      <c r="C16" s="11"/>
      <c r="D16" s="10" t="s">
        <v>47</v>
      </c>
      <c r="E16" s="12" t="s">
        <v>48</v>
      </c>
      <c r="F16" s="10" t="s">
        <v>16</v>
      </c>
      <c r="G16" s="10" t="s">
        <v>49</v>
      </c>
      <c r="H16" s="13">
        <v>2.24</v>
      </c>
      <c r="I16" s="14">
        <f t="shared" si="1"/>
        <v>4.48</v>
      </c>
      <c r="K16" s="19"/>
    </row>
    <row r="17" ht="12.75" customHeight="1">
      <c r="A17" s="10">
        <v>18.0</v>
      </c>
      <c r="B17" s="10" t="s">
        <v>50</v>
      </c>
      <c r="C17" s="11"/>
      <c r="D17" s="10" t="s">
        <v>51</v>
      </c>
      <c r="E17" s="12" t="s">
        <v>52</v>
      </c>
      <c r="F17" s="10" t="s">
        <v>16</v>
      </c>
      <c r="G17" s="10" t="s">
        <v>53</v>
      </c>
      <c r="H17" s="13">
        <v>0.1</v>
      </c>
      <c r="I17" s="14">
        <f t="shared" si="1"/>
        <v>1.8</v>
      </c>
    </row>
    <row r="18" ht="12.75" customHeight="1">
      <c r="A18" s="10">
        <v>1.0</v>
      </c>
      <c r="B18" s="10" t="s">
        <v>54</v>
      </c>
      <c r="C18" s="11"/>
      <c r="D18" s="10" t="s">
        <v>51</v>
      </c>
      <c r="E18" s="12" t="s">
        <v>52</v>
      </c>
      <c r="F18" s="10" t="s">
        <v>16</v>
      </c>
      <c r="G18" s="10" t="s">
        <v>53</v>
      </c>
      <c r="H18" s="13">
        <v>0.1</v>
      </c>
      <c r="I18" s="14">
        <f t="shared" si="1"/>
        <v>0.1</v>
      </c>
    </row>
    <row r="19" ht="12.75" customHeight="1">
      <c r="A19" s="10">
        <v>5.0</v>
      </c>
      <c r="B19" s="10" t="s">
        <v>55</v>
      </c>
      <c r="C19" s="11"/>
      <c r="D19" s="10" t="s">
        <v>56</v>
      </c>
      <c r="E19" s="17" t="s">
        <v>57</v>
      </c>
      <c r="F19" s="10" t="s">
        <v>16</v>
      </c>
      <c r="G19" s="10" t="s">
        <v>58</v>
      </c>
      <c r="H19" s="13">
        <v>1.56</v>
      </c>
      <c r="I19" s="14">
        <f t="shared" si="1"/>
        <v>7.8</v>
      </c>
    </row>
    <row r="20" ht="12.75" customHeight="1">
      <c r="A20" s="10">
        <v>1.0</v>
      </c>
      <c r="B20" s="10" t="s">
        <v>59</v>
      </c>
      <c r="C20" s="11"/>
      <c r="D20" s="10">
        <v>4.50404015514E11</v>
      </c>
      <c r="E20" s="12" t="s">
        <v>60</v>
      </c>
      <c r="F20" s="10" t="s">
        <v>16</v>
      </c>
      <c r="G20" s="10">
        <v>4.50404015514E11</v>
      </c>
      <c r="H20" s="21">
        <v>0.8</v>
      </c>
      <c r="I20" s="14">
        <f t="shared" si="1"/>
        <v>0.8</v>
      </c>
    </row>
    <row r="21" ht="12.75" customHeight="1">
      <c r="A21" s="10">
        <v>13.0</v>
      </c>
      <c r="B21" s="10" t="s">
        <v>61</v>
      </c>
      <c r="C21" s="11"/>
      <c r="D21" s="10" t="s">
        <v>62</v>
      </c>
      <c r="E21" s="12" t="s">
        <v>63</v>
      </c>
      <c r="F21" s="10"/>
      <c r="G21" s="11"/>
      <c r="H21" s="22">
        <v>0.0</v>
      </c>
      <c r="I21" s="14">
        <f t="shared" si="1"/>
        <v>0</v>
      </c>
    </row>
    <row r="22" ht="12.75" customHeight="1">
      <c r="A22" s="10">
        <v>1.0</v>
      </c>
      <c r="B22" s="10" t="s">
        <v>64</v>
      </c>
      <c r="C22" s="11"/>
      <c r="D22" s="10" t="s">
        <v>65</v>
      </c>
      <c r="E22" s="12" t="s">
        <v>66</v>
      </c>
      <c r="F22" s="10" t="s">
        <v>16</v>
      </c>
      <c r="G22" s="10" t="s">
        <v>67</v>
      </c>
      <c r="H22" s="23">
        <v>0.51</v>
      </c>
      <c r="I22" s="14">
        <f t="shared" si="1"/>
        <v>0.51</v>
      </c>
      <c r="L22" s="20"/>
    </row>
    <row r="23" ht="12.75" customHeight="1">
      <c r="A23" s="10">
        <v>2.0</v>
      </c>
      <c r="B23" s="10" t="s">
        <v>68</v>
      </c>
      <c r="C23" s="11"/>
      <c r="D23" s="10" t="s">
        <v>69</v>
      </c>
      <c r="E23" s="12" t="s">
        <v>70</v>
      </c>
      <c r="F23" s="10" t="s">
        <v>16</v>
      </c>
      <c r="G23" s="10" t="s">
        <v>71</v>
      </c>
      <c r="H23" s="13">
        <v>1.65</v>
      </c>
      <c r="I23" s="14">
        <f t="shared" si="1"/>
        <v>3.3</v>
      </c>
      <c r="L23" s="19"/>
    </row>
    <row r="24" ht="12.75" customHeight="1">
      <c r="A24" s="10">
        <v>1.0</v>
      </c>
      <c r="B24" s="10" t="s">
        <v>72</v>
      </c>
      <c r="C24" s="11"/>
      <c r="D24" s="10" t="s">
        <v>73</v>
      </c>
      <c r="E24" s="12" t="s">
        <v>74</v>
      </c>
      <c r="F24" s="10" t="s">
        <v>16</v>
      </c>
      <c r="G24" s="10" t="s">
        <v>75</v>
      </c>
      <c r="H24" s="24">
        <v>2.12</v>
      </c>
      <c r="I24" s="14">
        <f t="shared" si="1"/>
        <v>2.12</v>
      </c>
    </row>
    <row r="25" ht="12.75" customHeight="1">
      <c r="A25" s="10">
        <v>1.0</v>
      </c>
      <c r="B25" s="10" t="s">
        <v>76</v>
      </c>
      <c r="C25" s="11"/>
      <c r="D25" s="10" t="s">
        <v>77</v>
      </c>
      <c r="E25" s="12" t="s">
        <v>78</v>
      </c>
      <c r="F25" s="10" t="s">
        <v>16</v>
      </c>
      <c r="G25" s="10" t="s">
        <v>79</v>
      </c>
      <c r="H25" s="23">
        <v>14.86</v>
      </c>
      <c r="I25" s="14">
        <f t="shared" si="1"/>
        <v>14.86</v>
      </c>
    </row>
    <row r="26" ht="12.75" customHeight="1">
      <c r="A26" s="5"/>
      <c r="B26" s="5"/>
      <c r="C26" s="5"/>
      <c r="D26" s="5"/>
      <c r="E26" s="5"/>
      <c r="F26" s="5"/>
      <c r="G26" s="5"/>
      <c r="H26" s="6"/>
      <c r="I26" s="6"/>
    </row>
    <row r="27" ht="12.75" customHeight="1">
      <c r="A27" s="5"/>
      <c r="B27" s="5"/>
      <c r="C27" s="5"/>
      <c r="D27" s="5"/>
      <c r="E27" s="5"/>
      <c r="F27" s="5"/>
      <c r="G27" s="5"/>
      <c r="H27" s="6"/>
      <c r="I27" s="6"/>
    </row>
    <row r="28" ht="12.75" customHeight="1">
      <c r="A28" s="5"/>
      <c r="B28" s="5"/>
      <c r="C28" s="5"/>
      <c r="D28" s="5"/>
      <c r="E28" s="5"/>
      <c r="F28" s="5"/>
      <c r="G28" s="5"/>
      <c r="H28" s="6"/>
      <c r="I28" s="6"/>
    </row>
    <row r="29" ht="12.75" customHeight="1">
      <c r="A29" s="5"/>
      <c r="B29" s="5"/>
      <c r="C29" s="5"/>
      <c r="D29" s="5"/>
      <c r="E29" s="5"/>
      <c r="F29" s="5"/>
      <c r="G29" s="5"/>
      <c r="H29" s="6"/>
      <c r="I29" s="6"/>
    </row>
    <row r="30" ht="12.75" customHeight="1">
      <c r="A30" s="5"/>
      <c r="B30" s="5"/>
      <c r="C30" s="5"/>
      <c r="D30" s="5"/>
      <c r="E30" s="5"/>
      <c r="F30" s="5"/>
      <c r="G30" s="5"/>
      <c r="H30" s="6"/>
      <c r="I30" s="6"/>
    </row>
    <row r="31" ht="12.75" customHeight="1">
      <c r="A31" s="5"/>
      <c r="B31" s="5"/>
      <c r="C31" s="5"/>
      <c r="D31" s="5"/>
      <c r="E31" s="5"/>
      <c r="F31" s="5"/>
      <c r="G31" s="5"/>
      <c r="H31" s="6"/>
      <c r="I31" s="6"/>
    </row>
    <row r="32" ht="12.75" customHeight="1">
      <c r="A32" s="5"/>
      <c r="B32" s="5"/>
      <c r="C32" s="5"/>
      <c r="D32" s="5"/>
      <c r="E32" s="5"/>
      <c r="F32" s="5"/>
      <c r="G32" s="5"/>
      <c r="H32" s="6"/>
      <c r="I32" s="6"/>
    </row>
    <row r="33" ht="12.75" customHeight="1">
      <c r="A33" s="5"/>
      <c r="B33" s="5"/>
      <c r="C33" s="5"/>
      <c r="D33" s="5"/>
      <c r="E33" s="5"/>
      <c r="F33" s="5"/>
      <c r="G33" s="5"/>
      <c r="H33" s="6"/>
      <c r="I33" s="6"/>
    </row>
    <row r="34" ht="12.75" customHeight="1">
      <c r="A34" s="5"/>
      <c r="B34" s="5"/>
      <c r="C34" s="5"/>
      <c r="D34" s="5"/>
      <c r="E34" s="5"/>
      <c r="F34" s="5"/>
      <c r="G34" s="5"/>
      <c r="H34" s="6"/>
      <c r="I34" s="6"/>
    </row>
    <row r="35" ht="12.75" customHeight="1">
      <c r="A35" s="5"/>
      <c r="B35" s="5"/>
      <c r="C35" s="5"/>
      <c r="D35" s="5"/>
      <c r="E35" s="5"/>
      <c r="F35" s="5"/>
      <c r="G35" s="5"/>
      <c r="H35" s="6"/>
      <c r="I35" s="6"/>
    </row>
    <row r="36" ht="12.75" customHeight="1">
      <c r="A36" s="5"/>
      <c r="B36" s="5"/>
      <c r="C36" s="5"/>
      <c r="D36" s="5"/>
      <c r="E36" s="5"/>
      <c r="F36" s="5"/>
      <c r="G36" s="5"/>
      <c r="H36" s="6"/>
      <c r="I36" s="6"/>
    </row>
    <row r="37" ht="12.75" customHeight="1">
      <c r="A37" s="5"/>
      <c r="B37" s="5"/>
      <c r="C37" s="5"/>
      <c r="D37" s="5"/>
      <c r="E37" s="5"/>
      <c r="F37" s="5"/>
      <c r="G37" s="5"/>
      <c r="H37" s="6"/>
      <c r="I37" s="6"/>
    </row>
    <row r="38" ht="12.75" customHeight="1">
      <c r="H38" s="25" t="s">
        <v>80</v>
      </c>
      <c r="I38" s="25">
        <f>SUM(I7:I37)</f>
        <v>50.03</v>
      </c>
    </row>
    <row r="39" ht="12.75" customHeight="1">
      <c r="H39" s="25"/>
      <c r="I39" s="25"/>
    </row>
    <row r="40" ht="12.75" customHeight="1">
      <c r="A40" s="8" t="s">
        <v>81</v>
      </c>
      <c r="B40" s="8"/>
      <c r="C40" s="8"/>
      <c r="D40" s="8"/>
      <c r="E40" s="8"/>
      <c r="F40" s="8"/>
      <c r="G40" s="8"/>
      <c r="H40" s="9"/>
      <c r="I40" s="9"/>
    </row>
    <row r="41" ht="12.75" customHeight="1">
      <c r="H41" s="6"/>
      <c r="I41" s="6"/>
    </row>
    <row r="42" ht="12.75" customHeight="1">
      <c r="A42" s="26" t="s">
        <v>82</v>
      </c>
      <c r="B42" s="27" t="s">
        <v>83</v>
      </c>
      <c r="H42" s="6"/>
      <c r="I42" s="6"/>
    </row>
    <row r="43" ht="12.75" customHeight="1">
      <c r="A43" s="5" t="s">
        <v>84</v>
      </c>
      <c r="B43" s="28">
        <v>44147.0</v>
      </c>
      <c r="H43" s="6"/>
      <c r="I43" s="6"/>
    </row>
    <row r="44" ht="12.75" customHeight="1"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2.75" customHeight="1">
      <c r="H222" s="6"/>
      <c r="I222" s="6"/>
    </row>
    <row r="223" ht="12.75" customHeight="1">
      <c r="H223" s="6"/>
      <c r="I223" s="6"/>
    </row>
    <row r="224" ht="12.75" customHeight="1">
      <c r="H224" s="6"/>
      <c r="I224" s="6"/>
    </row>
    <row r="225" ht="12.75" customHeight="1">
      <c r="H225" s="6"/>
      <c r="I225" s="6"/>
    </row>
    <row r="226" ht="12.75" customHeight="1">
      <c r="H226" s="6"/>
      <c r="I226" s="6"/>
    </row>
    <row r="227" ht="12.75" customHeight="1">
      <c r="H227" s="6"/>
      <c r="I227" s="6"/>
    </row>
    <row r="228" ht="12.75" customHeight="1">
      <c r="H228" s="6"/>
      <c r="I228" s="6"/>
    </row>
    <row r="229" ht="12.75" customHeight="1">
      <c r="H229" s="6"/>
      <c r="I229" s="6"/>
    </row>
    <row r="230" ht="12.75" customHeight="1">
      <c r="H230" s="6"/>
      <c r="I230" s="6"/>
    </row>
    <row r="231" ht="12.75" customHeight="1">
      <c r="H231" s="6"/>
      <c r="I231" s="6"/>
    </row>
    <row r="232" ht="12.75" customHeight="1">
      <c r="H232" s="6"/>
      <c r="I232" s="6"/>
    </row>
    <row r="233" ht="12.75" customHeight="1">
      <c r="H233" s="6"/>
      <c r="I233" s="6"/>
    </row>
    <row r="234" ht="12.75" customHeight="1">
      <c r="H234" s="6"/>
      <c r="I234" s="6"/>
    </row>
    <row r="235" ht="12.75" customHeight="1">
      <c r="H235" s="6"/>
      <c r="I235" s="6"/>
    </row>
    <row r="236" ht="12.75" customHeight="1">
      <c r="H236" s="6"/>
      <c r="I236" s="6"/>
    </row>
    <row r="237" ht="12.75" customHeight="1">
      <c r="H237" s="6"/>
      <c r="I237" s="6"/>
    </row>
    <row r="238" ht="12.75" customHeight="1">
      <c r="H238" s="6"/>
      <c r="I238" s="6"/>
    </row>
    <row r="239" ht="12.75" customHeight="1">
      <c r="H239" s="6"/>
      <c r="I239" s="6"/>
    </row>
    <row r="240" ht="12.75" customHeight="1">
      <c r="H240" s="6"/>
      <c r="I240" s="6"/>
    </row>
    <row r="241" ht="12.75" customHeight="1">
      <c r="H241" s="6"/>
      <c r="I241" s="6"/>
    </row>
    <row r="242" ht="12.75" customHeight="1">
      <c r="H242" s="6"/>
      <c r="I242" s="6"/>
    </row>
    <row r="243" ht="12.75" customHeight="1">
      <c r="H243" s="6"/>
      <c r="I243" s="6"/>
    </row>
    <row r="244" ht="12.75" customHeight="1">
      <c r="H244" s="6"/>
      <c r="I244" s="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66666666666667" footer="0.0" header="0.0" left="1.0" right="1.0" top="1.66666666666667"/>
  <pageSetup orientation="landscape"/>
  <drawing r:id="rId1"/>
</worksheet>
</file>