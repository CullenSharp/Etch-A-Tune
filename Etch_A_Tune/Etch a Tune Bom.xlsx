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rski\Documents\ECE411\Etch-A-Tune\Etch_A_Tune\"/>
    </mc:Choice>
  </mc:AlternateContent>
  <xr:revisionPtr revIDLastSave="0" documentId="13_ncr:1_{5F0DFF2C-0473-4D29-9E14-71A19E88A92F}" xr6:coauthVersionLast="47" xr6:coauthVersionMax="47" xr10:uidLastSave="{00000000-0000-0000-0000-000000000000}"/>
  <bookViews>
    <workbookView xWindow="43572" yWindow="-108" windowWidth="23256" windowHeight="13176" xr2:uid="{00000000-000D-0000-FFFF-FFFF00000000}"/>
  </bookViews>
  <sheets>
    <sheet name="ECE411 BOM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I7" i="1"/>
  <c r="I45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8" i="1"/>
  <c r="I9" i="1"/>
  <c r="I10" i="1"/>
  <c r="I11" i="1"/>
</calcChain>
</file>

<file path=xl/sharedStrings.xml><?xml version="1.0" encoding="utf-8"?>
<sst xmlns="http://schemas.openxmlformats.org/spreadsheetml/2006/main" count="252" uniqueCount="193">
  <si>
    <t>Bill Of Materials for: [7] [Etch A Tune]</t>
  </si>
  <si>
    <t>Qty</t>
  </si>
  <si>
    <t>Reference Designators</t>
  </si>
  <si>
    <t>Mfr</t>
  </si>
  <si>
    <t>Mfr Part Number</t>
  </si>
  <si>
    <t>Description</t>
  </si>
  <si>
    <t>Dist</t>
  </si>
  <si>
    <t>Dist Part Number</t>
  </si>
  <si>
    <t>Cost Ea.</t>
  </si>
  <si>
    <t>Cost Total</t>
  </si>
  <si>
    <t>BT1</t>
  </si>
  <si>
    <t>1042P</t>
  </si>
  <si>
    <t>BATTERY HOLDER 18650 SMD</t>
  </si>
  <si>
    <t>Digikey</t>
  </si>
  <si>
    <t>36-1042P-ND</t>
  </si>
  <si>
    <t>CL10E104KC8VPNC</t>
  </si>
  <si>
    <t>CAP CER 100NF 100V X8L 0603</t>
  </si>
  <si>
    <t>1276-CL10E104KC8VPNCCT-ND</t>
  </si>
  <si>
    <t>BQ25170DSGR</t>
  </si>
  <si>
    <t>800-MA LINEAR BATTERY CHARGER FO</t>
  </si>
  <si>
    <t>296-BQ25170DSGRCT-ND</t>
  </si>
  <si>
    <t>J1</t>
  </si>
  <si>
    <t>91601-304ALF</t>
  </si>
  <si>
    <t>609-91601-304ALFCT-ND</t>
  </si>
  <si>
    <t>J4</t>
  </si>
  <si>
    <t>900-2171790001CT-ND</t>
  </si>
  <si>
    <t>L1</t>
  </si>
  <si>
    <t>RIC11-31S15D7-GSMT</t>
  </si>
  <si>
    <t>ENCODER INCREM QUAD VERT SMD/SMT</t>
  </si>
  <si>
    <t>2223-RIC11-31S15D7-GSMT-ND</t>
  </si>
  <si>
    <t>RC0603FR-0710KL</t>
  </si>
  <si>
    <t>311-10.0KHRCT-ND</t>
  </si>
  <si>
    <t>B3AL-1005P</t>
  </si>
  <si>
    <t>Z7816CT-ND</t>
  </si>
  <si>
    <t>S6</t>
  </si>
  <si>
    <t>U1</t>
  </si>
  <si>
    <t>BQ29700DSER</t>
  </si>
  <si>
    <t>296-43985-1-ND</t>
  </si>
  <si>
    <t>CSD16406Q3</t>
  </si>
  <si>
    <t>MOSFET N-CH 25V 19A/60A 8VSON</t>
  </si>
  <si>
    <t>296-24251-1-ND</t>
  </si>
  <si>
    <t>U4</t>
  </si>
  <si>
    <t>TPS62063DSGR</t>
  </si>
  <si>
    <t>U5</t>
  </si>
  <si>
    <t>STM32H7A3ZIT6Q</t>
  </si>
  <si>
    <t>497-STM32H7A3ZIT6Q-ND</t>
  </si>
  <si>
    <t>VERSION INFO</t>
  </si>
  <si>
    <t>Rev</t>
  </si>
  <si>
    <t>Date</t>
  </si>
  <si>
    <t>C1,C2,C12,C25,C30,C31</t>
  </si>
  <si>
    <t>C3,C6,C7,C10,C11,C13,C14,C15,C16,C17,C18,C19,C20,C21,C22,C23,C24,C26,C28,C29</t>
  </si>
  <si>
    <t>C4,C9</t>
  </si>
  <si>
    <t>C5</t>
  </si>
  <si>
    <t>C8</t>
  </si>
  <si>
    <t>C27</t>
  </si>
  <si>
    <t>C32</t>
  </si>
  <si>
    <t>C33</t>
  </si>
  <si>
    <t>C36,C37</t>
  </si>
  <si>
    <t>CR1,CR2</t>
  </si>
  <si>
    <t>D1,D2</t>
  </si>
  <si>
    <t>FB1</t>
  </si>
  <si>
    <t>J2,J3,J6</t>
  </si>
  <si>
    <t>J5</t>
  </si>
  <si>
    <t>J7</t>
  </si>
  <si>
    <t>MT1,MT2</t>
  </si>
  <si>
    <t>R1</t>
  </si>
  <si>
    <t>R2</t>
  </si>
  <si>
    <t>R3</t>
  </si>
  <si>
    <t>R4</t>
  </si>
  <si>
    <t>R5</t>
  </si>
  <si>
    <t>R6</t>
  </si>
  <si>
    <t>R7,R8,R9,R10,R11,R12,R13,R14,R15,R16,R17,R18,R19,R31</t>
  </si>
  <si>
    <t>R20,R21</t>
  </si>
  <si>
    <t>R22,R23</t>
  </si>
  <si>
    <t>R24,R25,R26,R27,R28,R29,R30,R33,R34,R35,R36,R39</t>
  </si>
  <si>
    <t>R32,R37,R38,R40</t>
  </si>
  <si>
    <t>S1,S2,S3,S4,S5</t>
  </si>
  <si>
    <t>U2,U3</t>
  </si>
  <si>
    <t>U6</t>
  </si>
  <si>
    <t>Y2</t>
  </si>
  <si>
    <t>Last modified: [11/21/25]</t>
  </si>
  <si>
    <t>Keystone Electronics</t>
  </si>
  <si>
    <t>Samsung Electro-Mechanics</t>
  </si>
  <si>
    <t>KEMET</t>
  </si>
  <si>
    <t>Cal-Chip Electronics, Inc.</t>
  </si>
  <si>
    <t>Toshiba Semiconductor and Storage</t>
  </si>
  <si>
    <t>WÃ¼rth Elektronik</t>
  </si>
  <si>
    <t>Murata Electronics</t>
  </si>
  <si>
    <t>Amphenol</t>
  </si>
  <si>
    <t>Amphenol ICC (FCI)</t>
  </si>
  <si>
    <t>Molex</t>
  </si>
  <si>
    <t>Same Sky (Formerly CUI Devices)</t>
  </si>
  <si>
    <t>CNC Tech</t>
  </si>
  <si>
    <t>Taiyo Yuden</t>
  </si>
  <si>
    <t>TE Connectivity Passive Product</t>
  </si>
  <si>
    <t>Panasonic Electronic Components</t>
  </si>
  <si>
    <t>YAGEO</t>
  </si>
  <si>
    <t>Stackpole Electronics Inc</t>
  </si>
  <si>
    <t>OMRON Electronics</t>
  </si>
  <si>
    <t>Texas Instruments</t>
  </si>
  <si>
    <t>STMicroelectronics</t>
  </si>
  <si>
    <t>Abracon LLC</t>
  </si>
  <si>
    <t>CL10B105KA8NNNC</t>
  </si>
  <si>
    <t>CL10A106KP8NNNC</t>
  </si>
  <si>
    <t>C0603C220J5GACTU</t>
  </si>
  <si>
    <t>GMC32X5R337M6R3NT</t>
  </si>
  <si>
    <t>CL10A475KO8NNNC</t>
  </si>
  <si>
    <t>C0603C221K5RACTU</t>
  </si>
  <si>
    <t>C0603C102J8HACAUTO</t>
  </si>
  <si>
    <t>CBR04C180F5GAC</t>
  </si>
  <si>
    <t>CMS06(TE12L,Q,M)</t>
  </si>
  <si>
    <t>150060GS75000</t>
  </si>
  <si>
    <t>BLM18AG601SN1D</t>
  </si>
  <si>
    <t>75915-414LF</t>
  </si>
  <si>
    <t>SJ-3524-SMT-TR-PI</t>
  </si>
  <si>
    <t>3220-10-0300-00</t>
  </si>
  <si>
    <t>BRL3225T1R0M</t>
  </si>
  <si>
    <t>CRGCQ0603F27K</t>
  </si>
  <si>
    <t>ERA-3AEB6040V</t>
  </si>
  <si>
    <t>RC0603JR-07330RL</t>
  </si>
  <si>
    <t>RC0603JR-072K2L</t>
  </si>
  <si>
    <t>ERJ-3EKF3603V</t>
  </si>
  <si>
    <t>RC0603JR-07180KL</t>
  </si>
  <si>
    <t>RMCF0603FT10R0</t>
  </si>
  <si>
    <t>RC0603JR-075K1L</t>
  </si>
  <si>
    <t>RC0603JR-070RL</t>
  </si>
  <si>
    <t>ABM8G-12.000MHZ-D2Y-T</t>
  </si>
  <si>
    <t>CAP CER 1UF 25V X7R 0603</t>
  </si>
  <si>
    <t>CAP CER 10UF 10V X5R 0603</t>
  </si>
  <si>
    <t>CAP CER 22PF 50V C0G/NP0 0603</t>
  </si>
  <si>
    <t>CAP1210 X5R 330UF 20% 6.3V</t>
  </si>
  <si>
    <t>CAP CER 4.7UF 16V X5R 0603</t>
  </si>
  <si>
    <t>CAP CER 220PF 50V X7R 0603</t>
  </si>
  <si>
    <t>CAP CER 0603 1NF 10V ULTRA STABL</t>
  </si>
  <si>
    <t>CAP CER 18PF 50V C0G/NP0 0402</t>
  </si>
  <si>
    <t>DIODE SCHOTTKY 30V 2A MFLAT</t>
  </si>
  <si>
    <t>LED GREEN CLEAR 0603 SMD</t>
  </si>
  <si>
    <t>FERRITE BEAD 600 OHM 0603 1LN</t>
  </si>
  <si>
    <t>Board to Board &amp; Mezzanine Connectors 14P VRT SR RECEPT MATTE TIN</t>
  </si>
  <si>
    <t>4 Position Receptacle, Bottom or Top Entry Connector 0.100" (2.54mm) Surface Mount Gold</t>
  </si>
  <si>
    <t>USB-C (USB TYPE-C) USB 2.0 Receptacle Connector 24 (16+8 Dummy) Position Surface Mount, Right Angle; Through Hole</t>
  </si>
  <si>
    <t>CONN JACK STEREO 3.5MM SMD R/A</t>
  </si>
  <si>
    <t>CONN HEADER SMD 10POS 1.27MM</t>
  </si>
  <si>
    <t>FIXED IND 1UH 2.2A 51.6 MOHM SMD</t>
  </si>
  <si>
    <t>27 kOhms Â±1% 0.1W, 1/10W Chip Resistor 0603 (1608 Metric) Automotive AEC-Q200, Moisture Resistant Thick Film</t>
  </si>
  <si>
    <t>604 Ohms Â±0.1% 0.1W, 1/10W Chip Resistor 0603 (1608 Metric) Automotive AEC-Q200 Thin Film</t>
  </si>
  <si>
    <t>330 Ohms Â±5% 0.1W, 1/10W Chip Resistor 0603 (1608 Metric) Moisture Resistant Thick Film</t>
  </si>
  <si>
    <t>2.2 kOhms Â±5% 0.1W, 1/10W Chip Resistor 0603 (1608 Metric) Moisture Resistant Thick Film</t>
  </si>
  <si>
    <t>360 kOhms Â±1% 0.1W, 1/10W Chip Resistor 0603 (1608 Metric) Automotive AEC-Q200 Thick Film</t>
  </si>
  <si>
    <t>180 kOhms Â±5% 0.1W, 1/10W Chip Resistor 0603 (1608 Metric) Moisture Resistant Thick Film</t>
  </si>
  <si>
    <t>10 kOhms Â±1% 0.1W, 1/10W Chip Resistor 0603 (1608 Metric) Moisture Resistant Thick Film</t>
  </si>
  <si>
    <t>10 Ohms Â±1% 0.1W, 1/10W Chip Resistor 0603 (1608 Metric) Automotive AEC-Q200 Thick Film</t>
  </si>
  <si>
    <t>5.1 kOhms Â±5% 0.1W, 1/10W Chip Resistor 0603 (1608 Metric) Moisture Resistant Thick Film</t>
  </si>
  <si>
    <t>RES 0 OHM JUMPER 1/10W 0603</t>
  </si>
  <si>
    <t>Tactile Switches 4.50N OF Long Stroke Pink Button</t>
  </si>
  <si>
    <t>Slide Switch SPDT Surface Mount</t>
  </si>
  <si>
    <t>Voltage and Current Protection for Single-Cell Li-Ion and Li-Polymer Batteries</t>
  </si>
  <si>
    <t>Buck Switching Regulator IC Positive Fixed 3.3V 1 Output 1.6A 8-WFDFN Exposed Pad</t>
  </si>
  <si>
    <t>ARMÂ® CortexÂ®-M7 STM32H7 Microcontroller IC 32-Bit 280MHz 2MB (2M x 8) FLASH 144-LQFP (20x20)</t>
  </si>
  <si>
    <t>CRYSTAL 12.0000MHZ 18PF SMD</t>
  </si>
  <si>
    <t>1276-1184-1-ND</t>
  </si>
  <si>
    <t xml:space="preserve">1276-1192-1-ND </t>
  </si>
  <si>
    <t>399-C0603C220J5GACTUCT-ND</t>
  </si>
  <si>
    <t>4713-GMC32X5R337M6R3NTCT-ND</t>
  </si>
  <si>
    <t>1276-1784-1-ND</t>
  </si>
  <si>
    <t>399-C0603C221K5RACTUCT-ND</t>
  </si>
  <si>
    <t>399-C0603C102J8HACAUTOCT-ND</t>
  </si>
  <si>
    <t>399-8828-1-ND</t>
  </si>
  <si>
    <t>CMS06QMCT-ND</t>
  </si>
  <si>
    <t>732-4971-1-ND</t>
  </si>
  <si>
    <t>490-1014-1-ND</t>
  </si>
  <si>
    <t>609-75915-414LF-ND</t>
  </si>
  <si>
    <t>CP-3524SJPICT-ND</t>
  </si>
  <si>
    <t>1175-1629-ND</t>
  </si>
  <si>
    <t>587-2164-1-ND</t>
  </si>
  <si>
    <t>A129705CT-ND</t>
  </si>
  <si>
    <t>P604DBCT-ND</t>
  </si>
  <si>
    <t>311-330GRCT-ND</t>
  </si>
  <si>
    <t>311-2.2KGRCT-ND</t>
  </si>
  <si>
    <t>P360KHCT-ND</t>
  </si>
  <si>
    <t>311-180KGRCT-ND</t>
  </si>
  <si>
    <t>RMCF0603FT10R0CT-ND</t>
  </si>
  <si>
    <t>311-5.1KGRCT-ND</t>
  </si>
  <si>
    <t>311-0.0GRCT-ND</t>
  </si>
  <si>
    <t>732-13665-1-ND</t>
  </si>
  <si>
    <t>296-38304-1-ND</t>
  </si>
  <si>
    <t>535-ABM8G-12.000MHZ-D2Y-TCT-ND</t>
  </si>
  <si>
    <t>2171790001</t>
  </si>
  <si>
    <t>450404015514</t>
  </si>
  <si>
    <t>1.0r1</t>
  </si>
  <si>
    <t>BOM revision: [BOM REVISION 1.0]</t>
  </si>
  <si>
    <t>PCB version: [PCB VERSION 1.0]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</si>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</sst>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yyyy\-mm\-dd"/>
  </numFmts>
  <fonts count="3" x14ac:knownFonts="1">
    <font>
      <sz val="10"/>
      <color rgb="FF000000"/>
      <name val="Calibri"/>
      <scheme val="minor"/>
    </font>
    <font>
      <sz val="10"/>
      <color theme="1"/>
      <name val="Calibri"/>
    </font>
    <font>
      <b/>
      <sz val="1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164" fontId="2" fillId="2" borderId="0" xfId="0" applyNumberFormat="1" applyFont="1" applyFill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8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98"/>
  <sheetViews>
    <sheetView tabSelected="1" workbookViewId="0">
      <pane ySplit="6" topLeftCell="A35" activePane="bottomLeft" state="frozen"/>
      <selection pane="bottomLeft" activeCell="I56" sqref="I56"/>
    </sheetView>
  </sheetViews>
  <sheetFormatPr defaultColWidth="14.42578125" defaultRowHeight="15" customHeight="1" x14ac:dyDescent="0.2"/>
  <cols>
    <col min="1" max="1" width="5.140625" customWidth="1"/>
    <col min="2" max="2" width="10.140625" customWidth="1"/>
    <col min="3" max="3" width="25.5703125" customWidth="1"/>
    <col min="4" max="4" width="26.42578125" customWidth="1"/>
    <col min="5" max="5" width="31.85546875" customWidth="1"/>
    <col min="6" max="6" width="9" customWidth="1"/>
    <col min="7" max="7" width="20.85546875" customWidth="1"/>
    <col min="8" max="9" width="8.7109375" customWidth="1"/>
  </cols>
  <sheetData>
    <row r="1" spans="1:9" ht="12.75" customHeight="1" x14ac:dyDescent="0.2">
      <c r="A1" s="1" t="s">
        <v>0</v>
      </c>
      <c r="B1" s="1"/>
      <c r="C1" s="1"/>
      <c r="D1" s="1"/>
      <c r="E1" s="1"/>
      <c r="F1" s="1"/>
      <c r="G1" s="1"/>
      <c r="H1" s="2"/>
      <c r="I1" s="2"/>
    </row>
    <row r="2" spans="1:9" ht="12.75" customHeight="1" x14ac:dyDescent="0.2">
      <c r="A2" s="3" t="s">
        <v>80</v>
      </c>
      <c r="B2" s="3"/>
      <c r="C2" s="3"/>
      <c r="D2" s="3"/>
      <c r="E2" s="3"/>
      <c r="F2" s="3"/>
      <c r="H2" s="4"/>
      <c r="I2" s="4"/>
    </row>
    <row r="3" spans="1:9" ht="12.75" customHeight="1" x14ac:dyDescent="0.2">
      <c r="A3" s="3" t="s">
        <v>191</v>
      </c>
      <c r="B3" s="3"/>
      <c r="E3" s="3"/>
      <c r="F3" s="3"/>
      <c r="H3" s="4"/>
      <c r="I3" s="4"/>
    </row>
    <row r="4" spans="1:9" ht="12.75" customHeight="1" x14ac:dyDescent="0.2">
      <c r="A4" s="3" t="s">
        <v>190</v>
      </c>
      <c r="B4" s="3"/>
      <c r="C4" s="3"/>
      <c r="E4" s="3"/>
      <c r="F4" s="3"/>
      <c r="H4" s="4"/>
      <c r="I4" s="4"/>
    </row>
    <row r="5" spans="1:9" ht="12.75" customHeight="1" x14ac:dyDescent="0.2">
      <c r="A5" s="3"/>
      <c r="B5" s="3"/>
      <c r="C5" s="3"/>
      <c r="D5" s="3"/>
      <c r="E5" s="3"/>
      <c r="F5" s="3"/>
      <c r="H5" s="4"/>
      <c r="I5" s="4"/>
    </row>
    <row r="6" spans="1:9" ht="12.75" customHeight="1" x14ac:dyDescent="0.2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5" t="s">
        <v>7</v>
      </c>
      <c r="H6" s="6" t="s">
        <v>8</v>
      </c>
      <c r="I6" s="6" t="s">
        <v>9</v>
      </c>
    </row>
    <row r="7" spans="1:9" ht="12.75" customHeight="1" x14ac:dyDescent="0.2">
      <c r="A7">
        <v>1</v>
      </c>
      <c r="B7" t="s">
        <v>10</v>
      </c>
      <c r="C7" t="s">
        <v>81</v>
      </c>
      <c r="D7" t="s">
        <v>11</v>
      </c>
      <c r="E7" t="s">
        <v>12</v>
      </c>
      <c r="F7" s="7" t="s">
        <v>13</v>
      </c>
      <c r="G7" t="s">
        <v>14</v>
      </c>
      <c r="H7" s="12">
        <v>5.54</v>
      </c>
      <c r="I7" s="8">
        <f t="shared" ref="I7:I45" si="0">$H7*$A7</f>
        <v>5.54</v>
      </c>
    </row>
    <row r="8" spans="1:9" ht="12.75" customHeight="1" x14ac:dyDescent="0.2">
      <c r="A8">
        <v>6</v>
      </c>
      <c r="B8" t="s">
        <v>49</v>
      </c>
      <c r="C8" t="s">
        <v>82</v>
      </c>
      <c r="D8" t="s">
        <v>102</v>
      </c>
      <c r="E8" t="s">
        <v>127</v>
      </c>
      <c r="F8" s="7" t="s">
        <v>13</v>
      </c>
      <c r="G8" t="s">
        <v>160</v>
      </c>
      <c r="H8" s="12">
        <v>0.08</v>
      </c>
      <c r="I8" s="8">
        <f t="shared" si="0"/>
        <v>0.48</v>
      </c>
    </row>
    <row r="9" spans="1:9" ht="12.75" customHeight="1" x14ac:dyDescent="0.2">
      <c r="A9">
        <v>20</v>
      </c>
      <c r="B9" t="s">
        <v>50</v>
      </c>
      <c r="C9" t="s">
        <v>82</v>
      </c>
      <c r="D9" t="s">
        <v>15</v>
      </c>
      <c r="E9" t="s">
        <v>16</v>
      </c>
      <c r="F9" s="7" t="s">
        <v>13</v>
      </c>
      <c r="G9" t="s">
        <v>17</v>
      </c>
      <c r="H9" s="12">
        <v>0.25</v>
      </c>
      <c r="I9" s="8">
        <f t="shared" si="0"/>
        <v>5</v>
      </c>
    </row>
    <row r="10" spans="1:9" ht="12.75" customHeight="1" x14ac:dyDescent="0.2">
      <c r="A10">
        <v>2</v>
      </c>
      <c r="B10" t="s">
        <v>51</v>
      </c>
      <c r="C10" t="s">
        <v>82</v>
      </c>
      <c r="D10" t="s">
        <v>103</v>
      </c>
      <c r="E10" t="s">
        <v>128</v>
      </c>
      <c r="F10" s="7" t="s">
        <v>13</v>
      </c>
      <c r="G10" t="s">
        <v>161</v>
      </c>
      <c r="H10" s="12">
        <v>0.08</v>
      </c>
      <c r="I10" s="8">
        <f t="shared" si="0"/>
        <v>0.16</v>
      </c>
    </row>
    <row r="11" spans="1:9" ht="12.75" customHeight="1" x14ac:dyDescent="0.2">
      <c r="A11">
        <v>1</v>
      </c>
      <c r="B11" t="s">
        <v>52</v>
      </c>
      <c r="C11" t="s">
        <v>83</v>
      </c>
      <c r="D11" t="s">
        <v>104</v>
      </c>
      <c r="E11" t="s">
        <v>129</v>
      </c>
      <c r="F11" s="7" t="s">
        <v>13</v>
      </c>
      <c r="G11" t="s">
        <v>162</v>
      </c>
      <c r="H11" s="12">
        <v>0.12</v>
      </c>
      <c r="I11" s="8">
        <f t="shared" si="0"/>
        <v>0.12</v>
      </c>
    </row>
    <row r="12" spans="1:9" ht="12.75" customHeight="1" x14ac:dyDescent="0.2">
      <c r="A12">
        <v>1</v>
      </c>
      <c r="B12" t="s">
        <v>53</v>
      </c>
      <c r="C12" t="s">
        <v>84</v>
      </c>
      <c r="D12" t="s">
        <v>105</v>
      </c>
      <c r="E12" t="s">
        <v>130</v>
      </c>
      <c r="F12" s="7" t="s">
        <v>13</v>
      </c>
      <c r="G12" t="s">
        <v>163</v>
      </c>
      <c r="H12" s="12">
        <v>4.26</v>
      </c>
      <c r="I12" s="8">
        <f t="shared" si="0"/>
        <v>4.26</v>
      </c>
    </row>
    <row r="13" spans="1:9" ht="12.75" customHeight="1" x14ac:dyDescent="0.2">
      <c r="A13">
        <v>1</v>
      </c>
      <c r="B13" t="s">
        <v>54</v>
      </c>
      <c r="C13" t="s">
        <v>82</v>
      </c>
      <c r="D13" t="s">
        <v>106</v>
      </c>
      <c r="E13" t="s">
        <v>131</v>
      </c>
      <c r="F13" s="7" t="s">
        <v>13</v>
      </c>
      <c r="G13" t="s">
        <v>164</v>
      </c>
      <c r="H13" s="12">
        <v>0.08</v>
      </c>
      <c r="I13" s="8">
        <f t="shared" si="0"/>
        <v>0.08</v>
      </c>
    </row>
    <row r="14" spans="1:9" ht="12.75" customHeight="1" x14ac:dyDescent="0.2">
      <c r="A14">
        <v>1</v>
      </c>
      <c r="B14" t="s">
        <v>55</v>
      </c>
      <c r="C14" t="s">
        <v>83</v>
      </c>
      <c r="D14" t="s">
        <v>107</v>
      </c>
      <c r="E14" t="s">
        <v>132</v>
      </c>
      <c r="F14" s="7" t="s">
        <v>13</v>
      </c>
      <c r="G14" t="s">
        <v>165</v>
      </c>
      <c r="H14" s="12">
        <v>0.1</v>
      </c>
      <c r="I14" s="8">
        <f t="shared" si="0"/>
        <v>0.1</v>
      </c>
    </row>
    <row r="15" spans="1:9" ht="12.75" customHeight="1" x14ac:dyDescent="0.2">
      <c r="A15">
        <v>1</v>
      </c>
      <c r="B15" t="s">
        <v>56</v>
      </c>
      <c r="C15" t="s">
        <v>83</v>
      </c>
      <c r="D15" t="s">
        <v>108</v>
      </c>
      <c r="E15" t="s">
        <v>133</v>
      </c>
      <c r="F15" s="7" t="s">
        <v>13</v>
      </c>
      <c r="G15" t="s">
        <v>166</v>
      </c>
      <c r="H15" s="12">
        <v>0.13</v>
      </c>
      <c r="I15" s="8">
        <f t="shared" si="0"/>
        <v>0.13</v>
      </c>
    </row>
    <row r="16" spans="1:9" ht="12.75" customHeight="1" x14ac:dyDescent="0.2">
      <c r="A16">
        <v>2</v>
      </c>
      <c r="B16" t="s">
        <v>57</v>
      </c>
      <c r="C16" t="s">
        <v>83</v>
      </c>
      <c r="D16" t="s">
        <v>109</v>
      </c>
      <c r="E16" t="s">
        <v>134</v>
      </c>
      <c r="F16" s="7" t="s">
        <v>13</v>
      </c>
      <c r="G16" t="s">
        <v>167</v>
      </c>
      <c r="H16" s="12">
        <v>0.35</v>
      </c>
      <c r="I16" s="8">
        <f t="shared" si="0"/>
        <v>0.7</v>
      </c>
    </row>
    <row r="17" spans="1:9" ht="12.75" customHeight="1" x14ac:dyDescent="0.2">
      <c r="A17">
        <v>2</v>
      </c>
      <c r="B17" t="s">
        <v>58</v>
      </c>
      <c r="C17" t="s">
        <v>85</v>
      </c>
      <c r="D17" t="s">
        <v>110</v>
      </c>
      <c r="E17" t="s">
        <v>135</v>
      </c>
      <c r="F17" s="7" t="s">
        <v>13</v>
      </c>
      <c r="G17" t="s">
        <v>168</v>
      </c>
      <c r="H17" s="12">
        <v>0.23</v>
      </c>
      <c r="I17" s="8">
        <f t="shared" si="0"/>
        <v>0.46</v>
      </c>
    </row>
    <row r="18" spans="1:9" ht="12.75" customHeight="1" x14ac:dyDescent="0.2">
      <c r="A18">
        <v>2</v>
      </c>
      <c r="B18" t="s">
        <v>59</v>
      </c>
      <c r="C18" t="s">
        <v>86</v>
      </c>
      <c r="D18" t="s">
        <v>111</v>
      </c>
      <c r="E18" t="s">
        <v>136</v>
      </c>
      <c r="F18" s="7" t="s">
        <v>13</v>
      </c>
      <c r="G18" t="s">
        <v>169</v>
      </c>
      <c r="H18" s="12">
        <v>0.15</v>
      </c>
      <c r="I18" s="8">
        <f t="shared" si="0"/>
        <v>0.3</v>
      </c>
    </row>
    <row r="19" spans="1:9" ht="12.75" customHeight="1" x14ac:dyDescent="0.2">
      <c r="A19">
        <v>1</v>
      </c>
      <c r="B19" t="s">
        <v>60</v>
      </c>
      <c r="C19" t="s">
        <v>87</v>
      </c>
      <c r="D19" t="s">
        <v>112</v>
      </c>
      <c r="E19" t="s">
        <v>137</v>
      </c>
      <c r="F19" s="7" t="s">
        <v>13</v>
      </c>
      <c r="G19" t="s">
        <v>170</v>
      </c>
      <c r="H19" s="12">
        <v>0.1</v>
      </c>
      <c r="I19" s="8">
        <f t="shared" si="0"/>
        <v>0.1</v>
      </c>
    </row>
    <row r="20" spans="1:9" ht="12.75" customHeight="1" x14ac:dyDescent="0.2">
      <c r="A20">
        <v>1</v>
      </c>
      <c r="B20" t="s">
        <v>21</v>
      </c>
      <c r="C20" t="s">
        <v>88</v>
      </c>
      <c r="D20" t="s">
        <v>113</v>
      </c>
      <c r="E20" t="s">
        <v>138</v>
      </c>
      <c r="F20" s="7" t="s">
        <v>13</v>
      </c>
      <c r="G20" t="s">
        <v>171</v>
      </c>
      <c r="H20" s="12">
        <v>1.86</v>
      </c>
      <c r="I20" s="8">
        <f t="shared" si="0"/>
        <v>1.86</v>
      </c>
    </row>
    <row r="21" spans="1:9" ht="12.75" customHeight="1" x14ac:dyDescent="0.2">
      <c r="A21">
        <v>3</v>
      </c>
      <c r="B21" t="s">
        <v>61</v>
      </c>
      <c r="C21" t="s">
        <v>89</v>
      </c>
      <c r="D21" t="s">
        <v>22</v>
      </c>
      <c r="E21" t="s">
        <v>139</v>
      </c>
      <c r="F21" s="7" t="s">
        <v>13</v>
      </c>
      <c r="G21" t="s">
        <v>23</v>
      </c>
      <c r="H21" s="12">
        <v>0.76</v>
      </c>
      <c r="I21" s="8">
        <f t="shared" si="0"/>
        <v>2.2800000000000002</v>
      </c>
    </row>
    <row r="22" spans="1:9" ht="12.75" customHeight="1" x14ac:dyDescent="0.2">
      <c r="A22">
        <v>1</v>
      </c>
      <c r="B22" t="s">
        <v>24</v>
      </c>
      <c r="C22" t="s">
        <v>90</v>
      </c>
      <c r="D22" s="13" t="s">
        <v>187</v>
      </c>
      <c r="E22" t="s">
        <v>140</v>
      </c>
      <c r="F22" s="7" t="s">
        <v>13</v>
      </c>
      <c r="G22" t="s">
        <v>25</v>
      </c>
      <c r="H22" s="12">
        <v>0.83</v>
      </c>
      <c r="I22" s="8">
        <f t="shared" si="0"/>
        <v>0.83</v>
      </c>
    </row>
    <row r="23" spans="1:9" ht="12.75" customHeight="1" x14ac:dyDescent="0.2">
      <c r="A23">
        <v>1</v>
      </c>
      <c r="B23" t="s">
        <v>62</v>
      </c>
      <c r="C23" t="s">
        <v>91</v>
      </c>
      <c r="D23" t="s">
        <v>114</v>
      </c>
      <c r="E23" t="s">
        <v>141</v>
      </c>
      <c r="F23" s="7" t="s">
        <v>13</v>
      </c>
      <c r="G23" t="s">
        <v>172</v>
      </c>
      <c r="H23" s="12">
        <v>1.22</v>
      </c>
      <c r="I23" s="8">
        <f t="shared" si="0"/>
        <v>1.22</v>
      </c>
    </row>
    <row r="24" spans="1:9" ht="12.75" customHeight="1" x14ac:dyDescent="0.2">
      <c r="A24">
        <v>1</v>
      </c>
      <c r="B24" t="s">
        <v>63</v>
      </c>
      <c r="C24" t="s">
        <v>92</v>
      </c>
      <c r="D24" t="s">
        <v>115</v>
      </c>
      <c r="E24" t="s">
        <v>142</v>
      </c>
      <c r="F24" s="7" t="s">
        <v>13</v>
      </c>
      <c r="G24" t="s">
        <v>173</v>
      </c>
      <c r="H24" s="12">
        <v>0.81</v>
      </c>
      <c r="I24" s="8">
        <f t="shared" si="0"/>
        <v>0.81</v>
      </c>
    </row>
    <row r="25" spans="1:9" ht="12.75" customHeight="1" x14ac:dyDescent="0.2">
      <c r="A25">
        <v>1</v>
      </c>
      <c r="B25" t="s">
        <v>26</v>
      </c>
      <c r="C25" t="s">
        <v>93</v>
      </c>
      <c r="D25" t="s">
        <v>116</v>
      </c>
      <c r="E25" t="s">
        <v>143</v>
      </c>
      <c r="F25" s="7" t="s">
        <v>13</v>
      </c>
      <c r="G25" t="s">
        <v>174</v>
      </c>
      <c r="H25" s="12">
        <v>0.18</v>
      </c>
      <c r="I25" s="8">
        <f t="shared" si="0"/>
        <v>0.18</v>
      </c>
    </row>
    <row r="26" spans="1:9" ht="12.75" customHeight="1" x14ac:dyDescent="0.2">
      <c r="A26">
        <v>2</v>
      </c>
      <c r="B26" t="s">
        <v>64</v>
      </c>
      <c r="C26" t="s">
        <v>91</v>
      </c>
      <c r="D26" t="s">
        <v>27</v>
      </c>
      <c r="E26" t="s">
        <v>28</v>
      </c>
      <c r="F26" s="7" t="s">
        <v>13</v>
      </c>
      <c r="G26" t="s">
        <v>29</v>
      </c>
      <c r="H26" s="12">
        <v>2.14</v>
      </c>
      <c r="I26" s="8">
        <f t="shared" si="0"/>
        <v>4.28</v>
      </c>
    </row>
    <row r="27" spans="1:9" ht="12.75" customHeight="1" x14ac:dyDescent="0.2">
      <c r="A27">
        <v>1</v>
      </c>
      <c r="B27" t="s">
        <v>65</v>
      </c>
      <c r="C27" t="s">
        <v>94</v>
      </c>
      <c r="D27" t="s">
        <v>117</v>
      </c>
      <c r="E27" t="s">
        <v>144</v>
      </c>
      <c r="F27" s="7" t="s">
        <v>13</v>
      </c>
      <c r="G27" t="s">
        <v>175</v>
      </c>
      <c r="H27" s="12">
        <v>0.1</v>
      </c>
      <c r="I27" s="8">
        <f t="shared" si="0"/>
        <v>0.1</v>
      </c>
    </row>
    <row r="28" spans="1:9" ht="12.75" customHeight="1" x14ac:dyDescent="0.2">
      <c r="A28">
        <v>1</v>
      </c>
      <c r="B28" t="s">
        <v>66</v>
      </c>
      <c r="C28" t="s">
        <v>95</v>
      </c>
      <c r="D28" t="s">
        <v>118</v>
      </c>
      <c r="E28" t="s">
        <v>145</v>
      </c>
      <c r="F28" s="7" t="s">
        <v>13</v>
      </c>
      <c r="G28" t="s">
        <v>176</v>
      </c>
      <c r="H28" s="12">
        <v>0.1</v>
      </c>
      <c r="I28" s="8">
        <f t="shared" si="0"/>
        <v>0.1</v>
      </c>
    </row>
    <row r="29" spans="1:9" ht="12.75" customHeight="1" x14ac:dyDescent="0.2">
      <c r="A29">
        <v>1</v>
      </c>
      <c r="B29" t="s">
        <v>67</v>
      </c>
      <c r="C29" t="s">
        <v>96</v>
      </c>
      <c r="D29" t="s">
        <v>119</v>
      </c>
      <c r="E29" t="s">
        <v>146</v>
      </c>
      <c r="F29" s="7" t="s">
        <v>13</v>
      </c>
      <c r="G29" t="s">
        <v>177</v>
      </c>
      <c r="H29" s="12">
        <v>0.1</v>
      </c>
      <c r="I29" s="8">
        <f t="shared" si="0"/>
        <v>0.1</v>
      </c>
    </row>
    <row r="30" spans="1:9" ht="12.75" customHeight="1" x14ac:dyDescent="0.2">
      <c r="A30">
        <v>1</v>
      </c>
      <c r="B30" t="s">
        <v>68</v>
      </c>
      <c r="C30" t="s">
        <v>96</v>
      </c>
      <c r="D30" t="s">
        <v>120</v>
      </c>
      <c r="E30" t="s">
        <v>147</v>
      </c>
      <c r="F30" s="7" t="s">
        <v>13</v>
      </c>
      <c r="G30" t="s">
        <v>178</v>
      </c>
      <c r="H30" s="12">
        <v>0.11</v>
      </c>
      <c r="I30" s="8">
        <f t="shared" si="0"/>
        <v>0.11</v>
      </c>
    </row>
    <row r="31" spans="1:9" ht="12.75" customHeight="1" x14ac:dyDescent="0.2">
      <c r="A31">
        <v>1</v>
      </c>
      <c r="B31" t="s">
        <v>69</v>
      </c>
      <c r="C31" t="s">
        <v>95</v>
      </c>
      <c r="D31" t="s">
        <v>121</v>
      </c>
      <c r="E31" t="s">
        <v>148</v>
      </c>
      <c r="F31" s="7" t="s">
        <v>13</v>
      </c>
      <c r="G31" t="s">
        <v>179</v>
      </c>
      <c r="H31" s="12">
        <v>0.1</v>
      </c>
      <c r="I31" s="8">
        <f t="shared" si="0"/>
        <v>0.1</v>
      </c>
    </row>
    <row r="32" spans="1:9" ht="12.75" customHeight="1" x14ac:dyDescent="0.2">
      <c r="A32">
        <v>1</v>
      </c>
      <c r="B32" t="s">
        <v>70</v>
      </c>
      <c r="C32" t="s">
        <v>96</v>
      </c>
      <c r="D32" t="s">
        <v>122</v>
      </c>
      <c r="E32" t="s">
        <v>149</v>
      </c>
      <c r="F32" s="7" t="s">
        <v>13</v>
      </c>
      <c r="G32" t="s">
        <v>180</v>
      </c>
      <c r="H32" s="12">
        <v>0.1</v>
      </c>
      <c r="I32" s="8">
        <f t="shared" si="0"/>
        <v>0.1</v>
      </c>
    </row>
    <row r="33" spans="1:9" ht="12.75" customHeight="1" x14ac:dyDescent="0.2">
      <c r="A33">
        <v>14</v>
      </c>
      <c r="B33" t="s">
        <v>71</v>
      </c>
      <c r="C33" t="s">
        <v>96</v>
      </c>
      <c r="D33" t="s">
        <v>30</v>
      </c>
      <c r="E33" t="s">
        <v>150</v>
      </c>
      <c r="F33" s="7" t="s">
        <v>13</v>
      </c>
      <c r="G33" t="s">
        <v>31</v>
      </c>
      <c r="H33" s="12">
        <v>0.1</v>
      </c>
      <c r="I33" s="8">
        <f t="shared" si="0"/>
        <v>1.4000000000000001</v>
      </c>
    </row>
    <row r="34" spans="1:9" ht="12.75" customHeight="1" x14ac:dyDescent="0.2">
      <c r="A34">
        <v>2</v>
      </c>
      <c r="B34" t="s">
        <v>72</v>
      </c>
      <c r="C34" t="s">
        <v>97</v>
      </c>
      <c r="D34" t="s">
        <v>123</v>
      </c>
      <c r="E34" t="s">
        <v>151</v>
      </c>
      <c r="F34" s="7" t="s">
        <v>13</v>
      </c>
      <c r="G34" t="s">
        <v>181</v>
      </c>
      <c r="H34" s="12">
        <v>0.1</v>
      </c>
      <c r="I34" s="8">
        <f t="shared" si="0"/>
        <v>0.2</v>
      </c>
    </row>
    <row r="35" spans="1:9" ht="12.75" customHeight="1" x14ac:dyDescent="0.2">
      <c r="A35">
        <v>2</v>
      </c>
      <c r="B35" t="s">
        <v>73</v>
      </c>
      <c r="C35" t="s">
        <v>96</v>
      </c>
      <c r="D35" t="s">
        <v>124</v>
      </c>
      <c r="E35" t="s">
        <v>152</v>
      </c>
      <c r="F35" s="7" t="s">
        <v>13</v>
      </c>
      <c r="G35" t="s">
        <v>182</v>
      </c>
      <c r="H35" s="12">
        <v>0.1</v>
      </c>
      <c r="I35" s="8">
        <f t="shared" si="0"/>
        <v>0.2</v>
      </c>
    </row>
    <row r="36" spans="1:9" ht="12.75" customHeight="1" x14ac:dyDescent="0.2">
      <c r="A36">
        <v>12</v>
      </c>
      <c r="B36" t="s">
        <v>74</v>
      </c>
      <c r="C36" t="s">
        <v>96</v>
      </c>
      <c r="D36" t="s">
        <v>125</v>
      </c>
      <c r="E36" t="s">
        <v>153</v>
      </c>
      <c r="F36" s="7" t="s">
        <v>13</v>
      </c>
      <c r="G36" t="s">
        <v>183</v>
      </c>
      <c r="H36" s="12">
        <v>0.1</v>
      </c>
      <c r="I36" s="8">
        <f t="shared" si="0"/>
        <v>1.2000000000000002</v>
      </c>
    </row>
    <row r="37" spans="1:9" ht="12.75" customHeight="1" x14ac:dyDescent="0.2">
      <c r="A37">
        <v>4</v>
      </c>
      <c r="B37" t="s">
        <v>75</v>
      </c>
      <c r="C37" t="s">
        <v>96</v>
      </c>
      <c r="D37" t="s">
        <v>125</v>
      </c>
      <c r="E37" t="s">
        <v>153</v>
      </c>
      <c r="F37" s="7" t="s">
        <v>13</v>
      </c>
      <c r="G37" t="s">
        <v>183</v>
      </c>
      <c r="H37" s="12">
        <v>0.1</v>
      </c>
      <c r="I37" s="8">
        <f t="shared" si="0"/>
        <v>0.4</v>
      </c>
    </row>
    <row r="38" spans="1:9" ht="12.75" customHeight="1" x14ac:dyDescent="0.2">
      <c r="A38">
        <v>5</v>
      </c>
      <c r="B38" t="s">
        <v>76</v>
      </c>
      <c r="C38" t="s">
        <v>98</v>
      </c>
      <c r="D38" t="s">
        <v>32</v>
      </c>
      <c r="E38" t="s">
        <v>154</v>
      </c>
      <c r="F38" s="7" t="s">
        <v>13</v>
      </c>
      <c r="G38" t="s">
        <v>33</v>
      </c>
      <c r="H38" s="12">
        <v>1.53</v>
      </c>
      <c r="I38" s="8">
        <f t="shared" si="0"/>
        <v>7.65</v>
      </c>
    </row>
    <row r="39" spans="1:9" ht="12.75" customHeight="1" x14ac:dyDescent="0.2">
      <c r="A39">
        <v>1</v>
      </c>
      <c r="B39" t="s">
        <v>34</v>
      </c>
      <c r="C39" t="s">
        <v>86</v>
      </c>
      <c r="D39" s="13" t="s">
        <v>188</v>
      </c>
      <c r="E39" t="s">
        <v>155</v>
      </c>
      <c r="F39" s="7" t="s">
        <v>13</v>
      </c>
      <c r="G39" t="s">
        <v>184</v>
      </c>
      <c r="H39" s="12">
        <v>0.8</v>
      </c>
      <c r="I39" s="8">
        <f t="shared" si="0"/>
        <v>0.8</v>
      </c>
    </row>
    <row r="40" spans="1:9" ht="12.75" customHeight="1" x14ac:dyDescent="0.2">
      <c r="A40">
        <v>1</v>
      </c>
      <c r="B40" t="s">
        <v>35</v>
      </c>
      <c r="C40" t="s">
        <v>99</v>
      </c>
      <c r="D40" t="s">
        <v>36</v>
      </c>
      <c r="E40" t="s">
        <v>156</v>
      </c>
      <c r="F40" s="7" t="s">
        <v>13</v>
      </c>
      <c r="G40" t="s">
        <v>37</v>
      </c>
      <c r="H40" s="12">
        <v>0.51</v>
      </c>
      <c r="I40" s="8">
        <f t="shared" si="0"/>
        <v>0.51</v>
      </c>
    </row>
    <row r="41" spans="1:9" ht="12.75" customHeight="1" x14ac:dyDescent="0.2">
      <c r="A41">
        <v>2</v>
      </c>
      <c r="B41" t="s">
        <v>77</v>
      </c>
      <c r="C41" t="s">
        <v>99</v>
      </c>
      <c r="D41" t="s">
        <v>38</v>
      </c>
      <c r="E41" t="s">
        <v>39</v>
      </c>
      <c r="F41" s="7" t="s">
        <v>13</v>
      </c>
      <c r="G41" t="s">
        <v>40</v>
      </c>
      <c r="H41" s="12">
        <v>1.65</v>
      </c>
      <c r="I41" s="8">
        <f t="shared" si="0"/>
        <v>3.3</v>
      </c>
    </row>
    <row r="42" spans="1:9" ht="12.75" customHeight="1" x14ac:dyDescent="0.2">
      <c r="A42">
        <v>1</v>
      </c>
      <c r="B42" t="s">
        <v>41</v>
      </c>
      <c r="C42" t="s">
        <v>99</v>
      </c>
      <c r="D42" t="s">
        <v>42</v>
      </c>
      <c r="E42" t="s">
        <v>157</v>
      </c>
      <c r="F42" s="7" t="s">
        <v>13</v>
      </c>
      <c r="G42" t="s">
        <v>185</v>
      </c>
      <c r="H42" s="12">
        <v>2.12</v>
      </c>
      <c r="I42" s="8">
        <f t="shared" si="0"/>
        <v>2.12</v>
      </c>
    </row>
    <row r="43" spans="1:9" ht="12.75" customHeight="1" x14ac:dyDescent="0.2">
      <c r="A43">
        <v>1</v>
      </c>
      <c r="B43" t="s">
        <v>43</v>
      </c>
      <c r="C43" t="s">
        <v>100</v>
      </c>
      <c r="D43" t="s">
        <v>44</v>
      </c>
      <c r="E43" t="s">
        <v>158</v>
      </c>
      <c r="F43" s="7" t="s">
        <v>13</v>
      </c>
      <c r="G43" t="s">
        <v>45</v>
      </c>
      <c r="H43" s="12">
        <v>14.86</v>
      </c>
      <c r="I43" s="8">
        <f t="shared" si="0"/>
        <v>14.86</v>
      </c>
    </row>
    <row r="44" spans="1:9" ht="12.75" customHeight="1" x14ac:dyDescent="0.2">
      <c r="A44">
        <v>1</v>
      </c>
      <c r="B44" t="s">
        <v>78</v>
      </c>
      <c r="C44" t="s">
        <v>99</v>
      </c>
      <c r="D44" t="s">
        <v>18</v>
      </c>
      <c r="E44" t="s">
        <v>19</v>
      </c>
      <c r="F44" s="7" t="s">
        <v>13</v>
      </c>
      <c r="G44" t="s">
        <v>20</v>
      </c>
      <c r="H44" s="12">
        <v>0.96</v>
      </c>
      <c r="I44" s="8">
        <f t="shared" si="0"/>
        <v>0.96</v>
      </c>
    </row>
    <row r="45" spans="1:9" ht="12.75" customHeight="1" x14ac:dyDescent="0.2">
      <c r="A45">
        <v>1</v>
      </c>
      <c r="B45" t="s">
        <v>79</v>
      </c>
      <c r="C45" t="s">
        <v>101</v>
      </c>
      <c r="D45" t="s">
        <v>126</v>
      </c>
      <c r="E45" t="s">
        <v>159</v>
      </c>
      <c r="F45" s="7" t="s">
        <v>13</v>
      </c>
      <c r="G45" t="s">
        <v>186</v>
      </c>
      <c r="H45" s="12">
        <v>0.56999999999999995</v>
      </c>
      <c r="I45" s="8">
        <f t="shared" si="0"/>
        <v>0.56999999999999995</v>
      </c>
    </row>
    <row r="46" spans="1:9" ht="12.75" customHeight="1" x14ac:dyDescent="0.2">
      <c r="H46" s="4"/>
      <c r="I46" s="4"/>
    </row>
    <row r="47" spans="1:9" ht="12.75" customHeight="1" x14ac:dyDescent="0.2">
      <c r="H47" s="4"/>
      <c r="I47" s="4"/>
    </row>
    <row r="48" spans="1:9" ht="12.75" customHeight="1" x14ac:dyDescent="0.2">
      <c r="H48" s="4"/>
      <c r="I48" s="4"/>
    </row>
    <row r="49" spans="1:9" ht="12.75" customHeight="1" x14ac:dyDescent="0.2">
      <c r="H49" s="4"/>
      <c r="I49" s="4"/>
    </row>
    <row r="50" spans="1:9" ht="12.75" customHeight="1" x14ac:dyDescent="0.2">
      <c r="H50" s="4"/>
      <c r="I50" s="4"/>
    </row>
    <row r="51" spans="1:9" ht="12.75" customHeight="1" x14ac:dyDescent="0.2">
      <c r="H51" s="4"/>
      <c r="I51" s="4"/>
    </row>
    <row r="52" spans="1:9" ht="12.75" customHeight="1" x14ac:dyDescent="0.2">
      <c r="H52" s="4"/>
      <c r="I52" s="4"/>
    </row>
    <row r="53" spans="1:9" ht="12.75" customHeight="1" x14ac:dyDescent="0.2">
      <c r="H53" s="4"/>
      <c r="I53" s="4"/>
    </row>
    <row r="54" spans="1:9" ht="12.75" customHeight="1" x14ac:dyDescent="0.2">
      <c r="A54" s="5" t="s">
        <v>46</v>
      </c>
      <c r="B54" s="5"/>
      <c r="C54" s="5"/>
      <c r="D54" s="5"/>
      <c r="E54" s="5"/>
      <c r="F54" s="5"/>
      <c r="G54" s="5"/>
      <c r="H54" s="6"/>
      <c r="I54" s="6"/>
    </row>
    <row r="55" spans="1:9" ht="12.75" customHeight="1" x14ac:dyDescent="0.2">
      <c r="H55" s="4" t="s">
        <v>192</v>
      </c>
      <c r="I55" s="4">
        <f>SUM(I7:I45)</f>
        <v>63.669999999999995</v>
      </c>
    </row>
    <row r="56" spans="1:9" ht="12.75" customHeight="1" x14ac:dyDescent="0.2">
      <c r="A56" s="9" t="s">
        <v>47</v>
      </c>
      <c r="B56" s="10" t="s">
        <v>48</v>
      </c>
      <c r="H56" s="4"/>
      <c r="I56" s="4"/>
    </row>
    <row r="57" spans="1:9" ht="12.75" customHeight="1" x14ac:dyDescent="0.2">
      <c r="A57" s="3" t="s">
        <v>189</v>
      </c>
      <c r="B57" s="11">
        <v>45982</v>
      </c>
      <c r="H57" s="4"/>
      <c r="I57" s="4"/>
    </row>
    <row r="58" spans="1:9" ht="12.75" customHeight="1" x14ac:dyDescent="0.2">
      <c r="H58" s="4"/>
      <c r="I58" s="4"/>
    </row>
    <row r="59" spans="1:9" ht="12.75" customHeight="1" x14ac:dyDescent="0.2">
      <c r="H59" s="4"/>
      <c r="I59" s="4"/>
    </row>
    <row r="60" spans="1:9" ht="12.75" customHeight="1" x14ac:dyDescent="0.2">
      <c r="H60" s="4"/>
      <c r="I60" s="4"/>
    </row>
    <row r="61" spans="1:9" ht="12.75" customHeight="1" x14ac:dyDescent="0.2">
      <c r="H61" s="4"/>
      <c r="I61" s="4"/>
    </row>
    <row r="62" spans="1:9" ht="12.75" customHeight="1" x14ac:dyDescent="0.2">
      <c r="H62" s="4"/>
      <c r="I62" s="4"/>
    </row>
    <row r="63" spans="1:9" ht="12.75" customHeight="1" x14ac:dyDescent="0.2">
      <c r="H63" s="4"/>
      <c r="I63" s="4"/>
    </row>
    <row r="64" spans="1:9" ht="12.75" customHeight="1" x14ac:dyDescent="0.2">
      <c r="H64" s="4"/>
      <c r="I64" s="4"/>
    </row>
    <row r="65" spans="8:9" ht="12.75" customHeight="1" x14ac:dyDescent="0.2">
      <c r="H65" s="4"/>
      <c r="I65" s="4"/>
    </row>
    <row r="66" spans="8:9" ht="12.75" customHeight="1" x14ac:dyDescent="0.2">
      <c r="H66" s="4"/>
      <c r="I66" s="4"/>
    </row>
    <row r="67" spans="8:9" ht="12.75" customHeight="1" x14ac:dyDescent="0.2">
      <c r="H67" s="4"/>
      <c r="I67" s="4"/>
    </row>
    <row r="68" spans="8:9" ht="12.75" customHeight="1" x14ac:dyDescent="0.2">
      <c r="H68" s="4"/>
      <c r="I68" s="4"/>
    </row>
    <row r="69" spans="8:9" ht="12.75" customHeight="1" x14ac:dyDescent="0.2">
      <c r="H69" s="4"/>
      <c r="I69" s="4"/>
    </row>
    <row r="70" spans="8:9" ht="12.75" customHeight="1" x14ac:dyDescent="0.2">
      <c r="H70" s="4"/>
      <c r="I70" s="4"/>
    </row>
    <row r="71" spans="8:9" ht="12.75" customHeight="1" x14ac:dyDescent="0.2">
      <c r="H71" s="4"/>
      <c r="I71" s="4"/>
    </row>
    <row r="72" spans="8:9" ht="12.75" customHeight="1" x14ac:dyDescent="0.2">
      <c r="H72" s="4"/>
      <c r="I72" s="4"/>
    </row>
    <row r="73" spans="8:9" ht="12.75" customHeight="1" x14ac:dyDescent="0.2">
      <c r="H73" s="4"/>
      <c r="I73" s="4"/>
    </row>
    <row r="74" spans="8:9" ht="12.75" customHeight="1" x14ac:dyDescent="0.2">
      <c r="H74" s="4"/>
      <c r="I74" s="4"/>
    </row>
    <row r="75" spans="8:9" ht="12.75" customHeight="1" x14ac:dyDescent="0.2">
      <c r="H75" s="4"/>
      <c r="I75" s="4"/>
    </row>
    <row r="76" spans="8:9" ht="12.75" customHeight="1" x14ac:dyDescent="0.2">
      <c r="H76" s="4"/>
      <c r="I76" s="4"/>
    </row>
    <row r="77" spans="8:9" ht="12.75" customHeight="1" x14ac:dyDescent="0.2">
      <c r="H77" s="4"/>
      <c r="I77" s="4"/>
    </row>
    <row r="78" spans="8:9" ht="12.75" customHeight="1" x14ac:dyDescent="0.2">
      <c r="H78" s="4"/>
      <c r="I78" s="4"/>
    </row>
    <row r="79" spans="8:9" ht="12.75" customHeight="1" x14ac:dyDescent="0.2">
      <c r="H79" s="4"/>
      <c r="I79" s="4"/>
    </row>
    <row r="80" spans="8:9" ht="12.75" customHeight="1" x14ac:dyDescent="0.2">
      <c r="H80" s="4"/>
      <c r="I80" s="4"/>
    </row>
    <row r="81" spans="8:9" ht="12.75" customHeight="1" x14ac:dyDescent="0.2">
      <c r="H81" s="4"/>
      <c r="I81" s="4"/>
    </row>
    <row r="82" spans="8:9" ht="12.75" customHeight="1" x14ac:dyDescent="0.2">
      <c r="H82" s="4"/>
      <c r="I82" s="4"/>
    </row>
    <row r="83" spans="8:9" ht="12.75" customHeight="1" x14ac:dyDescent="0.2">
      <c r="H83" s="4"/>
      <c r="I83" s="4"/>
    </row>
    <row r="84" spans="8:9" ht="12.75" customHeight="1" x14ac:dyDescent="0.2">
      <c r="H84" s="4"/>
      <c r="I84" s="4"/>
    </row>
    <row r="85" spans="8:9" ht="12.75" customHeight="1" x14ac:dyDescent="0.2">
      <c r="H85" s="4"/>
      <c r="I85" s="4"/>
    </row>
    <row r="86" spans="8:9" ht="12.75" customHeight="1" x14ac:dyDescent="0.2">
      <c r="H86" s="4"/>
      <c r="I86" s="4"/>
    </row>
    <row r="87" spans="8:9" ht="12.75" customHeight="1" x14ac:dyDescent="0.2">
      <c r="H87" s="4"/>
      <c r="I87" s="4"/>
    </row>
    <row r="88" spans="8:9" ht="12.75" customHeight="1" x14ac:dyDescent="0.2">
      <c r="H88" s="4"/>
      <c r="I88" s="4"/>
    </row>
    <row r="89" spans="8:9" ht="12.75" customHeight="1" x14ac:dyDescent="0.2">
      <c r="H89" s="4"/>
      <c r="I89" s="4"/>
    </row>
    <row r="90" spans="8:9" ht="12.75" customHeight="1" x14ac:dyDescent="0.2">
      <c r="H90" s="4"/>
      <c r="I90" s="4"/>
    </row>
    <row r="91" spans="8:9" ht="12.75" customHeight="1" x14ac:dyDescent="0.2">
      <c r="H91" s="4"/>
      <c r="I91" s="4"/>
    </row>
    <row r="92" spans="8:9" ht="12.75" customHeight="1" x14ac:dyDescent="0.2">
      <c r="H92" s="4"/>
      <c r="I92" s="4"/>
    </row>
    <row r="93" spans="8:9" ht="12.75" customHeight="1" x14ac:dyDescent="0.2">
      <c r="H93" s="4"/>
      <c r="I93" s="4"/>
    </row>
    <row r="94" spans="8:9" ht="12.75" customHeight="1" x14ac:dyDescent="0.2">
      <c r="H94" s="4"/>
      <c r="I94" s="4"/>
    </row>
    <row r="95" spans="8:9" ht="12.75" customHeight="1" x14ac:dyDescent="0.2">
      <c r="H95" s="4"/>
      <c r="I95" s="4"/>
    </row>
    <row r="96" spans="8:9" ht="12.75" customHeight="1" x14ac:dyDescent="0.2">
      <c r="H96" s="4"/>
      <c r="I96" s="4"/>
    </row>
    <row r="97" spans="8:9" ht="12.75" customHeight="1" x14ac:dyDescent="0.2">
      <c r="H97" s="4"/>
      <c r="I97" s="4"/>
    </row>
    <row r="98" spans="8:9" ht="12.75" customHeight="1" x14ac:dyDescent="0.2">
      <c r="H98" s="4"/>
      <c r="I98" s="4"/>
    </row>
    <row r="99" spans="8:9" ht="12.75" customHeight="1" x14ac:dyDescent="0.2">
      <c r="H99" s="4"/>
      <c r="I99" s="4"/>
    </row>
    <row r="100" spans="8:9" ht="12.75" customHeight="1" x14ac:dyDescent="0.2">
      <c r="H100" s="4"/>
      <c r="I100" s="4"/>
    </row>
    <row r="101" spans="8:9" ht="12.75" customHeight="1" x14ac:dyDescent="0.2">
      <c r="H101" s="4"/>
      <c r="I101" s="4"/>
    </row>
    <row r="102" spans="8:9" ht="12.75" customHeight="1" x14ac:dyDescent="0.2">
      <c r="H102" s="4"/>
      <c r="I102" s="4"/>
    </row>
    <row r="103" spans="8:9" ht="12.75" customHeight="1" x14ac:dyDescent="0.2">
      <c r="H103" s="4"/>
      <c r="I103" s="4"/>
    </row>
    <row r="104" spans="8:9" ht="12.75" customHeight="1" x14ac:dyDescent="0.2">
      <c r="H104" s="4"/>
      <c r="I104" s="4"/>
    </row>
    <row r="105" spans="8:9" ht="12.75" customHeight="1" x14ac:dyDescent="0.2">
      <c r="H105" s="4"/>
      <c r="I105" s="4"/>
    </row>
    <row r="106" spans="8:9" ht="12.75" customHeight="1" x14ac:dyDescent="0.2">
      <c r="H106" s="4"/>
      <c r="I106" s="4"/>
    </row>
    <row r="107" spans="8:9" ht="12.75" customHeight="1" x14ac:dyDescent="0.2">
      <c r="H107" s="4"/>
      <c r="I107" s="4"/>
    </row>
    <row r="108" spans="8:9" ht="12.75" customHeight="1" x14ac:dyDescent="0.2">
      <c r="H108" s="4"/>
      <c r="I108" s="4"/>
    </row>
    <row r="109" spans="8:9" ht="12.75" customHeight="1" x14ac:dyDescent="0.2">
      <c r="H109" s="4"/>
      <c r="I109" s="4"/>
    </row>
    <row r="110" spans="8:9" ht="12.75" customHeight="1" x14ac:dyDescent="0.2">
      <c r="H110" s="4"/>
      <c r="I110" s="4"/>
    </row>
    <row r="111" spans="8:9" ht="12.75" customHeight="1" x14ac:dyDescent="0.2">
      <c r="H111" s="4"/>
      <c r="I111" s="4"/>
    </row>
    <row r="112" spans="8:9" ht="12.75" customHeight="1" x14ac:dyDescent="0.2">
      <c r="H112" s="4"/>
      <c r="I112" s="4"/>
    </row>
    <row r="113" spans="8:9" ht="12.75" customHeight="1" x14ac:dyDescent="0.2">
      <c r="H113" s="4"/>
      <c r="I113" s="4"/>
    </row>
    <row r="114" spans="8:9" ht="12.75" customHeight="1" x14ac:dyDescent="0.2">
      <c r="H114" s="4"/>
      <c r="I114" s="4"/>
    </row>
    <row r="115" spans="8:9" ht="12.75" customHeight="1" x14ac:dyDescent="0.2">
      <c r="H115" s="4"/>
      <c r="I115" s="4"/>
    </row>
    <row r="116" spans="8:9" ht="12.75" customHeight="1" x14ac:dyDescent="0.2">
      <c r="H116" s="4"/>
      <c r="I116" s="4"/>
    </row>
    <row r="117" spans="8:9" ht="12.75" customHeight="1" x14ac:dyDescent="0.2">
      <c r="H117" s="4"/>
      <c r="I117" s="4"/>
    </row>
    <row r="118" spans="8:9" ht="12.75" customHeight="1" x14ac:dyDescent="0.2">
      <c r="H118" s="4"/>
      <c r="I118" s="4"/>
    </row>
    <row r="119" spans="8:9" ht="12.75" customHeight="1" x14ac:dyDescent="0.2">
      <c r="H119" s="4"/>
      <c r="I119" s="4"/>
    </row>
    <row r="120" spans="8:9" ht="12.75" customHeight="1" x14ac:dyDescent="0.2">
      <c r="H120" s="4"/>
      <c r="I120" s="4"/>
    </row>
    <row r="121" spans="8:9" ht="12.75" customHeight="1" x14ac:dyDescent="0.2">
      <c r="H121" s="4"/>
      <c r="I121" s="4"/>
    </row>
    <row r="122" spans="8:9" ht="12.75" customHeight="1" x14ac:dyDescent="0.2">
      <c r="H122" s="4"/>
      <c r="I122" s="4"/>
    </row>
    <row r="123" spans="8:9" ht="12.75" customHeight="1" x14ac:dyDescent="0.2">
      <c r="H123" s="4"/>
      <c r="I123" s="4"/>
    </row>
    <row r="124" spans="8:9" ht="12.75" customHeight="1" x14ac:dyDescent="0.2">
      <c r="H124" s="4"/>
      <c r="I124" s="4"/>
    </row>
    <row r="125" spans="8:9" ht="12.75" customHeight="1" x14ac:dyDescent="0.2">
      <c r="H125" s="4"/>
      <c r="I125" s="4"/>
    </row>
    <row r="126" spans="8:9" ht="12.75" customHeight="1" x14ac:dyDescent="0.2">
      <c r="H126" s="4"/>
      <c r="I126" s="4"/>
    </row>
    <row r="127" spans="8:9" ht="12.75" customHeight="1" x14ac:dyDescent="0.2">
      <c r="H127" s="4"/>
      <c r="I127" s="4"/>
    </row>
    <row r="128" spans="8:9" ht="12.75" customHeight="1" x14ac:dyDescent="0.2">
      <c r="H128" s="4"/>
      <c r="I128" s="4"/>
    </row>
    <row r="129" spans="8:9" ht="12.75" customHeight="1" x14ac:dyDescent="0.2">
      <c r="H129" s="4"/>
      <c r="I129" s="4"/>
    </row>
    <row r="130" spans="8:9" ht="12.75" customHeight="1" x14ac:dyDescent="0.2">
      <c r="H130" s="4"/>
      <c r="I130" s="4"/>
    </row>
    <row r="131" spans="8:9" ht="12.75" customHeight="1" x14ac:dyDescent="0.2">
      <c r="H131" s="4"/>
      <c r="I131" s="4"/>
    </row>
    <row r="132" spans="8:9" ht="12.75" customHeight="1" x14ac:dyDescent="0.2">
      <c r="H132" s="4"/>
      <c r="I132" s="4"/>
    </row>
    <row r="133" spans="8:9" ht="12.75" customHeight="1" x14ac:dyDescent="0.2">
      <c r="H133" s="4"/>
      <c r="I133" s="4"/>
    </row>
    <row r="134" spans="8:9" ht="12.75" customHeight="1" x14ac:dyDescent="0.2">
      <c r="H134" s="4"/>
      <c r="I134" s="4"/>
    </row>
    <row r="135" spans="8:9" ht="12.75" customHeight="1" x14ac:dyDescent="0.2">
      <c r="H135" s="4"/>
      <c r="I135" s="4"/>
    </row>
    <row r="136" spans="8:9" ht="12.75" customHeight="1" x14ac:dyDescent="0.2">
      <c r="H136" s="4"/>
      <c r="I136" s="4"/>
    </row>
    <row r="137" spans="8:9" ht="12.75" customHeight="1" x14ac:dyDescent="0.2">
      <c r="H137" s="4"/>
      <c r="I137" s="4"/>
    </row>
    <row r="138" spans="8:9" ht="12.75" customHeight="1" x14ac:dyDescent="0.2">
      <c r="H138" s="4"/>
      <c r="I138" s="4"/>
    </row>
    <row r="139" spans="8:9" ht="12.75" customHeight="1" x14ac:dyDescent="0.2">
      <c r="H139" s="4"/>
      <c r="I139" s="4"/>
    </row>
    <row r="140" spans="8:9" ht="12.75" customHeight="1" x14ac:dyDescent="0.2">
      <c r="H140" s="4"/>
      <c r="I140" s="4"/>
    </row>
    <row r="141" spans="8:9" ht="12.75" customHeight="1" x14ac:dyDescent="0.2">
      <c r="H141" s="4"/>
      <c r="I141" s="4"/>
    </row>
    <row r="142" spans="8:9" ht="12.75" customHeight="1" x14ac:dyDescent="0.2">
      <c r="H142" s="4"/>
      <c r="I142" s="4"/>
    </row>
    <row r="143" spans="8:9" ht="12.75" customHeight="1" x14ac:dyDescent="0.2">
      <c r="H143" s="4"/>
      <c r="I143" s="4"/>
    </row>
    <row r="144" spans="8:9" ht="12.75" customHeight="1" x14ac:dyDescent="0.2">
      <c r="H144" s="4"/>
      <c r="I144" s="4"/>
    </row>
    <row r="145" spans="8:9" ht="12.75" customHeight="1" x14ac:dyDescent="0.2">
      <c r="H145" s="4"/>
      <c r="I145" s="4"/>
    </row>
    <row r="146" spans="8:9" ht="12.75" customHeight="1" x14ac:dyDescent="0.2">
      <c r="H146" s="4"/>
      <c r="I146" s="4"/>
    </row>
    <row r="147" spans="8:9" ht="12.75" customHeight="1" x14ac:dyDescent="0.2">
      <c r="H147" s="4"/>
      <c r="I147" s="4"/>
    </row>
    <row r="148" spans="8:9" ht="12.75" customHeight="1" x14ac:dyDescent="0.2">
      <c r="H148" s="4"/>
      <c r="I148" s="4"/>
    </row>
    <row r="149" spans="8:9" ht="12.75" customHeight="1" x14ac:dyDescent="0.2">
      <c r="H149" s="4"/>
      <c r="I149" s="4"/>
    </row>
    <row r="150" spans="8:9" ht="12.75" customHeight="1" x14ac:dyDescent="0.2">
      <c r="H150" s="4"/>
      <c r="I150" s="4"/>
    </row>
    <row r="151" spans="8:9" ht="12.75" customHeight="1" x14ac:dyDescent="0.2">
      <c r="H151" s="4"/>
      <c r="I151" s="4"/>
    </row>
    <row r="152" spans="8:9" ht="12.75" customHeight="1" x14ac:dyDescent="0.2">
      <c r="H152" s="4"/>
      <c r="I152" s="4"/>
    </row>
    <row r="153" spans="8:9" ht="12.75" customHeight="1" x14ac:dyDescent="0.2">
      <c r="H153" s="4"/>
      <c r="I153" s="4"/>
    </row>
    <row r="154" spans="8:9" ht="12.75" customHeight="1" x14ac:dyDescent="0.2">
      <c r="H154" s="4"/>
      <c r="I154" s="4"/>
    </row>
    <row r="155" spans="8:9" ht="12.75" customHeight="1" x14ac:dyDescent="0.2">
      <c r="H155" s="4"/>
      <c r="I155" s="4"/>
    </row>
    <row r="156" spans="8:9" ht="12.75" customHeight="1" x14ac:dyDescent="0.2">
      <c r="H156" s="4"/>
      <c r="I156" s="4"/>
    </row>
    <row r="157" spans="8:9" ht="12.75" customHeight="1" x14ac:dyDescent="0.2">
      <c r="H157" s="4"/>
      <c r="I157" s="4"/>
    </row>
    <row r="158" spans="8:9" ht="12.75" customHeight="1" x14ac:dyDescent="0.2">
      <c r="H158" s="4"/>
      <c r="I158" s="4"/>
    </row>
    <row r="159" spans="8:9" ht="12.75" customHeight="1" x14ac:dyDescent="0.2">
      <c r="H159" s="4"/>
      <c r="I159" s="4"/>
    </row>
    <row r="160" spans="8:9" ht="12.75" customHeight="1" x14ac:dyDescent="0.2">
      <c r="H160" s="4"/>
      <c r="I160" s="4"/>
    </row>
    <row r="161" spans="8:9" ht="12.75" customHeight="1" x14ac:dyDescent="0.2">
      <c r="H161" s="4"/>
      <c r="I161" s="4"/>
    </row>
    <row r="162" spans="8:9" ht="12.75" customHeight="1" x14ac:dyDescent="0.2">
      <c r="H162" s="4"/>
      <c r="I162" s="4"/>
    </row>
    <row r="163" spans="8:9" ht="12.75" customHeight="1" x14ac:dyDescent="0.2">
      <c r="H163" s="4"/>
      <c r="I163" s="4"/>
    </row>
    <row r="164" spans="8:9" ht="12.75" customHeight="1" x14ac:dyDescent="0.2">
      <c r="H164" s="4"/>
      <c r="I164" s="4"/>
    </row>
    <row r="165" spans="8:9" ht="12.75" customHeight="1" x14ac:dyDescent="0.2">
      <c r="H165" s="4"/>
      <c r="I165" s="4"/>
    </row>
    <row r="166" spans="8:9" ht="12.75" customHeight="1" x14ac:dyDescent="0.2">
      <c r="H166" s="4"/>
      <c r="I166" s="4"/>
    </row>
    <row r="167" spans="8:9" ht="12.75" customHeight="1" x14ac:dyDescent="0.2">
      <c r="H167" s="4"/>
      <c r="I167" s="4"/>
    </row>
    <row r="168" spans="8:9" ht="12.75" customHeight="1" x14ac:dyDescent="0.2">
      <c r="H168" s="4"/>
      <c r="I168" s="4"/>
    </row>
    <row r="169" spans="8:9" ht="12.75" customHeight="1" x14ac:dyDescent="0.2">
      <c r="H169" s="4"/>
      <c r="I169" s="4"/>
    </row>
    <row r="170" spans="8:9" ht="12.75" customHeight="1" x14ac:dyDescent="0.2">
      <c r="H170" s="4"/>
      <c r="I170" s="4"/>
    </row>
    <row r="171" spans="8:9" ht="12.75" customHeight="1" x14ac:dyDescent="0.2">
      <c r="H171" s="4"/>
      <c r="I171" s="4"/>
    </row>
    <row r="172" spans="8:9" ht="12.75" customHeight="1" x14ac:dyDescent="0.2">
      <c r="H172" s="4"/>
      <c r="I172" s="4"/>
    </row>
    <row r="173" spans="8:9" ht="12.75" customHeight="1" x14ac:dyDescent="0.2">
      <c r="H173" s="4"/>
      <c r="I173" s="4"/>
    </row>
    <row r="174" spans="8:9" ht="12.75" customHeight="1" x14ac:dyDescent="0.2">
      <c r="H174" s="4"/>
      <c r="I174" s="4"/>
    </row>
    <row r="175" spans="8:9" ht="12.75" customHeight="1" x14ac:dyDescent="0.2">
      <c r="H175" s="4"/>
      <c r="I175" s="4"/>
    </row>
    <row r="176" spans="8:9" ht="12.75" customHeight="1" x14ac:dyDescent="0.2">
      <c r="H176" s="4"/>
      <c r="I176" s="4"/>
    </row>
    <row r="177" spans="8:9" ht="12.75" customHeight="1" x14ac:dyDescent="0.2">
      <c r="H177" s="4"/>
      <c r="I177" s="4"/>
    </row>
    <row r="178" spans="8:9" ht="12.75" customHeight="1" x14ac:dyDescent="0.2">
      <c r="H178" s="4"/>
      <c r="I178" s="4"/>
    </row>
    <row r="179" spans="8:9" ht="12.75" customHeight="1" x14ac:dyDescent="0.2">
      <c r="H179" s="4"/>
      <c r="I179" s="4"/>
    </row>
    <row r="180" spans="8:9" ht="12.75" customHeight="1" x14ac:dyDescent="0.2">
      <c r="H180" s="4"/>
      <c r="I180" s="4"/>
    </row>
    <row r="181" spans="8:9" ht="12.75" customHeight="1" x14ac:dyDescent="0.2">
      <c r="H181" s="4"/>
      <c r="I181" s="4"/>
    </row>
    <row r="182" spans="8:9" ht="12.75" customHeight="1" x14ac:dyDescent="0.2">
      <c r="H182" s="4"/>
      <c r="I182" s="4"/>
    </row>
    <row r="183" spans="8:9" ht="12.75" customHeight="1" x14ac:dyDescent="0.2">
      <c r="H183" s="4"/>
      <c r="I183" s="4"/>
    </row>
    <row r="184" spans="8:9" ht="12.75" customHeight="1" x14ac:dyDescent="0.2">
      <c r="H184" s="4"/>
      <c r="I184" s="4"/>
    </row>
    <row r="185" spans="8:9" ht="12.75" customHeight="1" x14ac:dyDescent="0.2">
      <c r="H185" s="4"/>
      <c r="I185" s="4"/>
    </row>
    <row r="186" spans="8:9" ht="12.75" customHeight="1" x14ac:dyDescent="0.2">
      <c r="H186" s="4"/>
      <c r="I186" s="4"/>
    </row>
    <row r="187" spans="8:9" ht="12.75" customHeight="1" x14ac:dyDescent="0.2">
      <c r="H187" s="4"/>
      <c r="I187" s="4"/>
    </row>
    <row r="188" spans="8:9" ht="12.75" customHeight="1" x14ac:dyDescent="0.2">
      <c r="H188" s="4"/>
      <c r="I188" s="4"/>
    </row>
    <row r="189" spans="8:9" ht="12.75" customHeight="1" x14ac:dyDescent="0.2">
      <c r="H189" s="4"/>
      <c r="I189" s="4"/>
    </row>
    <row r="190" spans="8:9" ht="12.75" customHeight="1" x14ac:dyDescent="0.2">
      <c r="H190" s="4"/>
      <c r="I190" s="4"/>
    </row>
    <row r="191" spans="8:9" ht="12.75" customHeight="1" x14ac:dyDescent="0.2">
      <c r="H191" s="4"/>
      <c r="I191" s="4"/>
    </row>
    <row r="192" spans="8:9" ht="12.75" customHeight="1" x14ac:dyDescent="0.2">
      <c r="H192" s="4"/>
      <c r="I192" s="4"/>
    </row>
    <row r="193" spans="8:9" ht="12.75" customHeight="1" x14ac:dyDescent="0.2">
      <c r="H193" s="4"/>
      <c r="I193" s="4"/>
    </row>
    <row r="194" spans="8:9" ht="12.75" customHeight="1" x14ac:dyDescent="0.2">
      <c r="H194" s="4"/>
      <c r="I194" s="4"/>
    </row>
    <row r="195" spans="8:9" ht="12.75" customHeight="1" x14ac:dyDescent="0.2">
      <c r="H195" s="4"/>
      <c r="I195" s="4"/>
    </row>
    <row r="196" spans="8:9" ht="12.75" customHeight="1" x14ac:dyDescent="0.2">
      <c r="H196" s="4"/>
      <c r="I196" s="4"/>
    </row>
    <row r="197" spans="8:9" ht="12.75" customHeight="1" x14ac:dyDescent="0.2">
      <c r="H197" s="4"/>
      <c r="I197" s="4"/>
    </row>
    <row r="198" spans="8:9" ht="12.75" customHeight="1" x14ac:dyDescent="0.2">
      <c r="H198" s="4"/>
      <c r="I198" s="4"/>
    </row>
    <row r="199" spans="8:9" ht="12.75" customHeight="1" x14ac:dyDescent="0.2">
      <c r="H199" s="4"/>
      <c r="I199" s="4"/>
    </row>
    <row r="200" spans="8:9" ht="12.75" customHeight="1" x14ac:dyDescent="0.2">
      <c r="H200" s="4"/>
      <c r="I200" s="4"/>
    </row>
    <row r="201" spans="8:9" ht="12.75" customHeight="1" x14ac:dyDescent="0.2">
      <c r="H201" s="4"/>
      <c r="I201" s="4"/>
    </row>
    <row r="202" spans="8:9" ht="12.75" customHeight="1" x14ac:dyDescent="0.2">
      <c r="H202" s="4"/>
      <c r="I202" s="4"/>
    </row>
    <row r="203" spans="8:9" ht="12.75" customHeight="1" x14ac:dyDescent="0.2">
      <c r="H203" s="4"/>
      <c r="I203" s="4"/>
    </row>
    <row r="204" spans="8:9" ht="12.75" customHeight="1" x14ac:dyDescent="0.2">
      <c r="H204" s="4"/>
      <c r="I204" s="4"/>
    </row>
    <row r="205" spans="8:9" ht="12.75" customHeight="1" x14ac:dyDescent="0.2">
      <c r="H205" s="4"/>
      <c r="I205" s="4"/>
    </row>
    <row r="206" spans="8:9" ht="12.75" customHeight="1" x14ac:dyDescent="0.2">
      <c r="H206" s="4"/>
      <c r="I206" s="4"/>
    </row>
    <row r="207" spans="8:9" ht="12.75" customHeight="1" x14ac:dyDescent="0.2">
      <c r="H207" s="4"/>
      <c r="I207" s="4"/>
    </row>
    <row r="208" spans="8:9" ht="12.75" customHeight="1" x14ac:dyDescent="0.2">
      <c r="H208" s="4"/>
      <c r="I208" s="4"/>
    </row>
    <row r="209" spans="8:9" ht="12.75" customHeight="1" x14ac:dyDescent="0.2">
      <c r="H209" s="4"/>
      <c r="I209" s="4"/>
    </row>
    <row r="210" spans="8:9" ht="12.75" customHeight="1" x14ac:dyDescent="0.2">
      <c r="H210" s="4"/>
      <c r="I210" s="4"/>
    </row>
    <row r="211" spans="8:9" ht="12.75" customHeight="1" x14ac:dyDescent="0.2">
      <c r="H211" s="4"/>
      <c r="I211" s="4"/>
    </row>
    <row r="212" spans="8:9" ht="12.75" customHeight="1" x14ac:dyDescent="0.2">
      <c r="H212" s="4"/>
      <c r="I212" s="4"/>
    </row>
    <row r="213" spans="8:9" ht="12.75" customHeight="1" x14ac:dyDescent="0.2">
      <c r="H213" s="4"/>
      <c r="I213" s="4"/>
    </row>
    <row r="214" spans="8:9" ht="12.75" customHeight="1" x14ac:dyDescent="0.2">
      <c r="H214" s="4"/>
      <c r="I214" s="4"/>
    </row>
    <row r="215" spans="8:9" ht="12.75" customHeight="1" x14ac:dyDescent="0.2">
      <c r="H215" s="4"/>
      <c r="I215" s="4"/>
    </row>
    <row r="216" spans="8:9" ht="12.75" customHeight="1" x14ac:dyDescent="0.2">
      <c r="H216" s="4"/>
      <c r="I216" s="4"/>
    </row>
    <row r="217" spans="8:9" ht="12.75" customHeight="1" x14ac:dyDescent="0.2">
      <c r="H217" s="4"/>
      <c r="I217" s="4"/>
    </row>
    <row r="218" spans="8:9" ht="12.75" customHeight="1" x14ac:dyDescent="0.2">
      <c r="H218" s="4"/>
      <c r="I218" s="4"/>
    </row>
    <row r="219" spans="8:9" ht="12.75" customHeight="1" x14ac:dyDescent="0.2">
      <c r="H219" s="4"/>
      <c r="I219" s="4"/>
    </row>
    <row r="220" spans="8:9" ht="12.75" customHeight="1" x14ac:dyDescent="0.2">
      <c r="H220" s="4"/>
      <c r="I220" s="4"/>
    </row>
    <row r="221" spans="8:9" ht="12.75" customHeight="1" x14ac:dyDescent="0.2">
      <c r="H221" s="4"/>
      <c r="I221" s="4"/>
    </row>
    <row r="222" spans="8:9" ht="12.75" customHeight="1" x14ac:dyDescent="0.2">
      <c r="H222" s="4"/>
      <c r="I222" s="4"/>
    </row>
    <row r="223" spans="8:9" ht="12.75" customHeight="1" x14ac:dyDescent="0.2">
      <c r="H223" s="4"/>
      <c r="I223" s="4"/>
    </row>
    <row r="224" spans="8:9" ht="12.75" customHeight="1" x14ac:dyDescent="0.2">
      <c r="H224" s="4"/>
      <c r="I224" s="4"/>
    </row>
    <row r="225" spans="8:9" ht="12.75" customHeight="1" x14ac:dyDescent="0.2">
      <c r="H225" s="4"/>
      <c r="I225" s="4"/>
    </row>
    <row r="226" spans="8:9" ht="12.75" customHeight="1" x14ac:dyDescent="0.2">
      <c r="H226" s="4"/>
      <c r="I226" s="4"/>
    </row>
    <row r="227" spans="8:9" ht="12.75" customHeight="1" x14ac:dyDescent="0.2">
      <c r="H227" s="4"/>
      <c r="I227" s="4"/>
    </row>
    <row r="228" spans="8:9" ht="12.75" customHeight="1" x14ac:dyDescent="0.2">
      <c r="H228" s="4"/>
      <c r="I228" s="4"/>
    </row>
    <row r="229" spans="8:9" ht="12.75" customHeight="1" x14ac:dyDescent="0.2">
      <c r="H229" s="4"/>
      <c r="I229" s="4"/>
    </row>
    <row r="230" spans="8:9" ht="12.75" customHeight="1" x14ac:dyDescent="0.2">
      <c r="H230" s="4"/>
      <c r="I230" s="4"/>
    </row>
    <row r="231" spans="8:9" ht="12.75" customHeight="1" x14ac:dyDescent="0.2">
      <c r="H231" s="4"/>
      <c r="I231" s="4"/>
    </row>
    <row r="232" spans="8:9" ht="12.75" customHeight="1" x14ac:dyDescent="0.2">
      <c r="H232" s="4"/>
      <c r="I232" s="4"/>
    </row>
    <row r="233" spans="8:9" ht="12.75" customHeight="1" x14ac:dyDescent="0.2">
      <c r="H233" s="4"/>
      <c r="I233" s="4"/>
    </row>
    <row r="234" spans="8:9" ht="12.75" customHeight="1" x14ac:dyDescent="0.2">
      <c r="H234" s="4"/>
      <c r="I234" s="4"/>
    </row>
    <row r="235" spans="8:9" ht="12.75" customHeight="1" x14ac:dyDescent="0.2">
      <c r="H235" s="4"/>
      <c r="I235" s="4"/>
    </row>
    <row r="236" spans="8:9" ht="12.75" customHeight="1" x14ac:dyDescent="0.2">
      <c r="H236" s="4"/>
      <c r="I236" s="4"/>
    </row>
    <row r="237" spans="8:9" ht="12.75" customHeight="1" x14ac:dyDescent="0.2">
      <c r="H237" s="4"/>
      <c r="I237" s="4"/>
    </row>
    <row r="238" spans="8:9" ht="12.75" customHeight="1" x14ac:dyDescent="0.2">
      <c r="H238" s="4"/>
      <c r="I238" s="4"/>
    </row>
    <row r="239" spans="8:9" ht="12.75" customHeight="1" x14ac:dyDescent="0.2">
      <c r="H239" s="4"/>
      <c r="I239" s="4"/>
    </row>
    <row r="240" spans="8:9" ht="12.75" customHeight="1" x14ac:dyDescent="0.2">
      <c r="H240" s="4"/>
      <c r="I240" s="4"/>
    </row>
    <row r="241" spans="8:9" ht="12.75" customHeight="1" x14ac:dyDescent="0.2">
      <c r="H241" s="4"/>
      <c r="I241" s="4"/>
    </row>
    <row r="242" spans="8:9" ht="12.75" customHeight="1" x14ac:dyDescent="0.2">
      <c r="H242" s="4"/>
      <c r="I242" s="4"/>
    </row>
    <row r="243" spans="8:9" ht="12.75" customHeight="1" x14ac:dyDescent="0.2">
      <c r="H243" s="4"/>
      <c r="I243" s="4"/>
    </row>
    <row r="244" spans="8:9" ht="12.75" customHeight="1" x14ac:dyDescent="0.2">
      <c r="H244" s="4"/>
      <c r="I244" s="4"/>
    </row>
    <row r="245" spans="8:9" ht="15.75" customHeight="1" x14ac:dyDescent="0.2"/>
    <row r="246" spans="8:9" ht="15.75" customHeight="1" x14ac:dyDescent="0.2"/>
    <row r="247" spans="8:9" ht="15.75" customHeight="1" x14ac:dyDescent="0.2"/>
    <row r="248" spans="8:9" ht="15.75" customHeight="1" x14ac:dyDescent="0.2"/>
    <row r="249" spans="8:9" ht="15.75" customHeight="1" x14ac:dyDescent="0.2"/>
    <row r="250" spans="8:9" ht="15.75" customHeight="1" x14ac:dyDescent="0.2"/>
    <row r="251" spans="8:9" ht="15.75" customHeight="1" x14ac:dyDescent="0.2"/>
    <row r="252" spans="8:9" ht="15.75" customHeight="1" x14ac:dyDescent="0.2"/>
    <row r="253" spans="8:9" ht="15.75" customHeight="1" x14ac:dyDescent="0.2"/>
    <row r="254" spans="8:9" ht="15.75" customHeight="1" x14ac:dyDescent="0.2"/>
    <row r="255" spans="8:9" ht="15.75" customHeight="1" x14ac:dyDescent="0.2"/>
    <row r="256" spans="8:9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1" right="1" top="1.6666666666666701" bottom="1.666666666666670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ECE411 BOM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Jack McMahon</cp:lastModifiedBy>
  <dcterms:modified xsi:type="dcterms:W3CDTF">2025-11-22T04:02:12Z</dcterms:modified>
</cp:coreProperties>
</file>